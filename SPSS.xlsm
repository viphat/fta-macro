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975" windowWidth="14355" windowHeight="6840"/>
  </bookViews>
  <sheets>
    <sheet name="Value" sheetId="1" r:id="rId1"/>
    <sheet name="Recode" sheetId="5" r:id="rId2"/>
    <sheet name="Restruct" sheetId="2" r:id="rId3"/>
    <sheet name="Factor" sheetId="9" r:id="rId4"/>
    <sheet name="BE" sheetId="3" r:id="rId5"/>
    <sheet name="Sheet4" sheetId="8" r:id="rId6"/>
    <sheet name="Syntax" sheetId="4" r:id="rId7"/>
    <sheet name="Sheet1" sheetId="10" r:id="rId8"/>
  </sheets>
  <functionGroups builtInGroupCount="17"/>
  <calcPr calcId="145621"/>
</workbook>
</file>

<file path=xl/calcChain.xml><?xml version="1.0" encoding="utf-8"?>
<calcChain xmlns="http://schemas.openxmlformats.org/spreadsheetml/2006/main">
  <c r="L220" i="1" l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219" i="1"/>
  <c r="K9" i="10" l="1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40" i="10"/>
  <c r="K41" i="10"/>
  <c r="K42" i="10"/>
  <c r="K43" i="10"/>
  <c r="K44" i="10"/>
  <c r="K45" i="10"/>
  <c r="K46" i="10"/>
  <c r="K47" i="10"/>
  <c r="K48" i="10"/>
  <c r="K49" i="10"/>
  <c r="K50" i="10"/>
  <c r="K51" i="10"/>
  <c r="K52" i="10"/>
  <c r="K53" i="10"/>
  <c r="K54" i="10"/>
  <c r="K55" i="10"/>
  <c r="K56" i="10"/>
  <c r="K57" i="10"/>
  <c r="K58" i="10"/>
  <c r="K59" i="10"/>
  <c r="K60" i="10"/>
  <c r="K61" i="10"/>
  <c r="K62" i="10"/>
  <c r="K63" i="10"/>
  <c r="K64" i="10"/>
  <c r="K65" i="10"/>
  <c r="K66" i="10"/>
  <c r="K67" i="10"/>
  <c r="K68" i="10"/>
  <c r="K69" i="10"/>
  <c r="K70" i="10"/>
  <c r="K71" i="10"/>
  <c r="K72" i="10"/>
  <c r="K73" i="10"/>
  <c r="K74" i="10"/>
  <c r="K75" i="10"/>
  <c r="K76" i="10"/>
  <c r="K77" i="10"/>
  <c r="K78" i="10"/>
  <c r="K79" i="10"/>
  <c r="K80" i="10"/>
  <c r="K81" i="10"/>
  <c r="K82" i="10"/>
  <c r="K83" i="10"/>
  <c r="K84" i="10"/>
  <c r="K85" i="10"/>
  <c r="K86" i="10"/>
  <c r="K87" i="10"/>
  <c r="K88" i="10"/>
  <c r="K89" i="10"/>
  <c r="K90" i="10"/>
  <c r="K91" i="10"/>
  <c r="K92" i="10"/>
  <c r="K93" i="10"/>
  <c r="K94" i="10"/>
  <c r="K95" i="10"/>
  <c r="K96" i="10"/>
  <c r="K97" i="10"/>
  <c r="K98" i="10"/>
  <c r="K99" i="10"/>
  <c r="K100" i="10"/>
  <c r="K101" i="10"/>
  <c r="K102" i="10"/>
  <c r="K103" i="10"/>
  <c r="K104" i="10"/>
  <c r="K105" i="10"/>
  <c r="K106" i="10"/>
  <c r="K107" i="10"/>
  <c r="K108" i="10"/>
  <c r="K109" i="10"/>
  <c r="K110" i="10"/>
  <c r="K111" i="10"/>
  <c r="K112" i="10"/>
  <c r="K113" i="10"/>
  <c r="K114" i="10"/>
  <c r="K115" i="10"/>
  <c r="K116" i="10"/>
  <c r="K117" i="10"/>
  <c r="K118" i="10"/>
  <c r="K119" i="10"/>
  <c r="K120" i="10"/>
  <c r="K121" i="10"/>
  <c r="K122" i="10"/>
  <c r="K123" i="10"/>
  <c r="K124" i="10"/>
  <c r="K125" i="10"/>
  <c r="K126" i="10"/>
  <c r="K127" i="10"/>
  <c r="K8" i="10"/>
  <c r="H108" i="10"/>
  <c r="I108" i="10" s="1"/>
  <c r="H109" i="10"/>
  <c r="I109" i="10" s="1"/>
  <c r="H110" i="10"/>
  <c r="I110" i="10" s="1"/>
  <c r="H111" i="10"/>
  <c r="I111" i="10" s="1"/>
  <c r="H112" i="10"/>
  <c r="I112" i="10" s="1"/>
  <c r="H113" i="10"/>
  <c r="I113" i="10" s="1"/>
  <c r="H114" i="10"/>
  <c r="I114" i="10" s="1"/>
  <c r="H115" i="10"/>
  <c r="I115" i="10" s="1"/>
  <c r="H116" i="10"/>
  <c r="I116" i="10" s="1"/>
  <c r="H117" i="10"/>
  <c r="I117" i="10" s="1"/>
  <c r="H118" i="10"/>
  <c r="I118" i="10" s="1"/>
  <c r="H119" i="10"/>
  <c r="I119" i="10" s="1"/>
  <c r="H120" i="10"/>
  <c r="I120" i="10" s="1"/>
  <c r="H121" i="10"/>
  <c r="I121" i="10" s="1"/>
  <c r="H122" i="10"/>
  <c r="I122" i="10" s="1"/>
  <c r="H123" i="10"/>
  <c r="I123" i="10" s="1"/>
  <c r="H124" i="10"/>
  <c r="I124" i="10" s="1"/>
  <c r="H125" i="10"/>
  <c r="I125" i="10" s="1"/>
  <c r="H126" i="10"/>
  <c r="I126" i="10" s="1"/>
  <c r="H127" i="10"/>
  <c r="I127" i="10" s="1"/>
  <c r="H107" i="10"/>
  <c r="I107" i="10" s="1"/>
  <c r="H45" i="10"/>
  <c r="I45" i="10" s="1"/>
  <c r="H46" i="10"/>
  <c r="I46" i="10" s="1"/>
  <c r="H47" i="10"/>
  <c r="I47" i="10" s="1"/>
  <c r="H48" i="10"/>
  <c r="I48" i="10" s="1"/>
  <c r="H49" i="10"/>
  <c r="I49" i="10" s="1"/>
  <c r="H50" i="10"/>
  <c r="I50" i="10" s="1"/>
  <c r="H51" i="10"/>
  <c r="I51" i="10" s="1"/>
  <c r="H52" i="10"/>
  <c r="I52" i="10" s="1"/>
  <c r="H53" i="10"/>
  <c r="I53" i="10" s="1"/>
  <c r="H54" i="10"/>
  <c r="I54" i="10" s="1"/>
  <c r="H55" i="10"/>
  <c r="I55" i="10" s="1"/>
  <c r="H56" i="10"/>
  <c r="I56" i="10" s="1"/>
  <c r="H57" i="10"/>
  <c r="I57" i="10" s="1"/>
  <c r="H58" i="10"/>
  <c r="I58" i="10" s="1"/>
  <c r="H59" i="10"/>
  <c r="I59" i="10" s="1"/>
  <c r="H60" i="10"/>
  <c r="I60" i="10" s="1"/>
  <c r="H61" i="10"/>
  <c r="I61" i="10" s="1"/>
  <c r="H62" i="10"/>
  <c r="I62" i="10" s="1"/>
  <c r="H63" i="10"/>
  <c r="I63" i="10" s="1"/>
  <c r="H64" i="10"/>
  <c r="I64" i="10" s="1"/>
  <c r="H65" i="10"/>
  <c r="I65" i="10" s="1"/>
  <c r="H66" i="10"/>
  <c r="I66" i="10" s="1"/>
  <c r="H67" i="10"/>
  <c r="I67" i="10" s="1"/>
  <c r="H68" i="10"/>
  <c r="I68" i="10" s="1"/>
  <c r="H69" i="10"/>
  <c r="I69" i="10" s="1"/>
  <c r="H70" i="10"/>
  <c r="I70" i="10" s="1"/>
  <c r="H71" i="10"/>
  <c r="I71" i="10" s="1"/>
  <c r="H72" i="10"/>
  <c r="I72" i="10" s="1"/>
  <c r="H73" i="10"/>
  <c r="I73" i="10" s="1"/>
  <c r="H74" i="10"/>
  <c r="I74" i="10" s="1"/>
  <c r="H75" i="10"/>
  <c r="I75" i="10" s="1"/>
  <c r="H76" i="10"/>
  <c r="I76" i="10" s="1"/>
  <c r="H77" i="10"/>
  <c r="I77" i="10" s="1"/>
  <c r="H78" i="10"/>
  <c r="I78" i="10" s="1"/>
  <c r="H79" i="10"/>
  <c r="I79" i="10" s="1"/>
  <c r="H80" i="10"/>
  <c r="I80" i="10" s="1"/>
  <c r="H81" i="10"/>
  <c r="I81" i="10" s="1"/>
  <c r="H82" i="10"/>
  <c r="I82" i="10" s="1"/>
  <c r="H83" i="10"/>
  <c r="I83" i="10" s="1"/>
  <c r="H84" i="10"/>
  <c r="I84" i="10" s="1"/>
  <c r="H85" i="10"/>
  <c r="I85" i="10" s="1"/>
  <c r="H86" i="10"/>
  <c r="I86" i="10" s="1"/>
  <c r="H87" i="10"/>
  <c r="I87" i="10" s="1"/>
  <c r="H88" i="10"/>
  <c r="I88" i="10" s="1"/>
  <c r="H89" i="10"/>
  <c r="I89" i="10" s="1"/>
  <c r="H90" i="10"/>
  <c r="I90" i="10" s="1"/>
  <c r="H91" i="10"/>
  <c r="I91" i="10" s="1"/>
  <c r="H92" i="10"/>
  <c r="I92" i="10" s="1"/>
  <c r="H93" i="10"/>
  <c r="I93" i="10" s="1"/>
  <c r="H94" i="10"/>
  <c r="I94" i="10" s="1"/>
  <c r="H95" i="10"/>
  <c r="I95" i="10" s="1"/>
  <c r="H96" i="10"/>
  <c r="I96" i="10" s="1"/>
  <c r="H97" i="10"/>
  <c r="I97" i="10" s="1"/>
  <c r="H98" i="10"/>
  <c r="I98" i="10" s="1"/>
  <c r="H99" i="10"/>
  <c r="I99" i="10" s="1"/>
  <c r="H100" i="10"/>
  <c r="I100" i="10" s="1"/>
  <c r="H101" i="10"/>
  <c r="I101" i="10" s="1"/>
  <c r="H102" i="10"/>
  <c r="I102" i="10" s="1"/>
  <c r="H103" i="10"/>
  <c r="I103" i="10" s="1"/>
  <c r="H104" i="10"/>
  <c r="I104" i="10" s="1"/>
  <c r="H105" i="10"/>
  <c r="I105" i="10" s="1"/>
  <c r="H106" i="10"/>
  <c r="I106" i="10" s="1"/>
  <c r="H44" i="10"/>
  <c r="I44" i="10" s="1"/>
  <c r="H36" i="10"/>
  <c r="I36" i="10" s="1"/>
  <c r="H37" i="10"/>
  <c r="I37" i="10" s="1"/>
  <c r="H38" i="10"/>
  <c r="I38" i="10" s="1"/>
  <c r="H39" i="10"/>
  <c r="I39" i="10" s="1"/>
  <c r="H40" i="10"/>
  <c r="I40" i="10" s="1"/>
  <c r="H41" i="10"/>
  <c r="I41" i="10" s="1"/>
  <c r="H42" i="10"/>
  <c r="I42" i="10" s="1"/>
  <c r="H43" i="10"/>
  <c r="I43" i="10" s="1"/>
  <c r="H35" i="10"/>
  <c r="I35" i="10" s="1"/>
  <c r="H9" i="10"/>
  <c r="I9" i="10" s="1"/>
  <c r="H10" i="10"/>
  <c r="I10" i="10" s="1"/>
  <c r="H11" i="10"/>
  <c r="I11" i="10" s="1"/>
  <c r="H12" i="10"/>
  <c r="I12" i="10" s="1"/>
  <c r="H13" i="10"/>
  <c r="I13" i="10" s="1"/>
  <c r="H14" i="10"/>
  <c r="I14" i="10" s="1"/>
  <c r="H15" i="10"/>
  <c r="I15" i="10" s="1"/>
  <c r="H16" i="10"/>
  <c r="I16" i="10" s="1"/>
  <c r="H17" i="10"/>
  <c r="I17" i="10" s="1"/>
  <c r="H18" i="10"/>
  <c r="I18" i="10" s="1"/>
  <c r="H19" i="10"/>
  <c r="I19" i="10" s="1"/>
  <c r="H20" i="10"/>
  <c r="I20" i="10" s="1"/>
  <c r="H21" i="10"/>
  <c r="I21" i="10" s="1"/>
  <c r="H22" i="10"/>
  <c r="I22" i="10" s="1"/>
  <c r="H23" i="10"/>
  <c r="I23" i="10" s="1"/>
  <c r="H24" i="10"/>
  <c r="I24" i="10" s="1"/>
  <c r="H25" i="10"/>
  <c r="I25" i="10" s="1"/>
  <c r="H26" i="10"/>
  <c r="I26" i="10" s="1"/>
  <c r="H27" i="10"/>
  <c r="I27" i="10" s="1"/>
  <c r="H28" i="10"/>
  <c r="I28" i="10" s="1"/>
  <c r="H29" i="10"/>
  <c r="I29" i="10" s="1"/>
  <c r="H30" i="10"/>
  <c r="I30" i="10" s="1"/>
  <c r="H31" i="10"/>
  <c r="I31" i="10" s="1"/>
  <c r="H32" i="10"/>
  <c r="I32" i="10" s="1"/>
  <c r="H33" i="10"/>
  <c r="I33" i="10" s="1"/>
  <c r="H34" i="10"/>
  <c r="I34" i="10" s="1"/>
  <c r="H8" i="10"/>
  <c r="I8" i="10" s="1"/>
  <c r="C3" i="9" l="1"/>
</calcChain>
</file>

<file path=xl/sharedStrings.xml><?xml version="1.0" encoding="utf-8"?>
<sst xmlns="http://schemas.openxmlformats.org/spreadsheetml/2006/main" count="4049" uniqueCount="3131">
  <si>
    <t>SPSS TOOL</t>
  </si>
  <si>
    <t>Lable SPSS</t>
  </si>
  <si>
    <t>S16</t>
  </si>
  <si>
    <t>Q1a</t>
  </si>
  <si>
    <t>Q2b</t>
  </si>
  <si>
    <t>Q2c</t>
  </si>
  <si>
    <t>Q2e</t>
  </si>
  <si>
    <t>Q3</t>
  </si>
  <si>
    <t>Q4</t>
  </si>
  <si>
    <t>Q7</t>
  </si>
  <si>
    <t>Q9</t>
  </si>
  <si>
    <t>Q10</t>
  </si>
  <si>
    <t>Q11</t>
  </si>
  <si>
    <t>Q13b</t>
  </si>
  <si>
    <t>Q14a</t>
  </si>
  <si>
    <t>Q14b</t>
  </si>
  <si>
    <t>Q14c</t>
  </si>
  <si>
    <t>Q14d</t>
  </si>
  <si>
    <t>Q14e</t>
  </si>
  <si>
    <t>Q16b</t>
  </si>
  <si>
    <t>Q16c</t>
  </si>
  <si>
    <t>Q17b</t>
  </si>
  <si>
    <t>Q18b</t>
  </si>
  <si>
    <t>Q24a</t>
  </si>
  <si>
    <t>Q24b</t>
  </si>
  <si>
    <t>Q24c</t>
  </si>
  <si>
    <t>Q24d</t>
  </si>
  <si>
    <t>Q28a</t>
  </si>
  <si>
    <t>Q28b</t>
  </si>
  <si>
    <t>Q28c</t>
  </si>
  <si>
    <t>Q28d</t>
  </si>
  <si>
    <t>Q1c_555</t>
  </si>
  <si>
    <t>Q1c_BASTION</t>
  </si>
  <si>
    <t>Q1c_BASTOS</t>
  </si>
  <si>
    <t>Q1c_BOSS</t>
  </si>
  <si>
    <t>Q1c_COTAB</t>
  </si>
  <si>
    <t>Q1c_DONATABA</t>
  </si>
  <si>
    <t>Q1c_Dunhill</t>
  </si>
  <si>
    <t>Q1c_ERA</t>
  </si>
  <si>
    <t>Q1c_ESSE</t>
  </si>
  <si>
    <t>Q1c_EVEREST</t>
  </si>
  <si>
    <t>Q1c_FINE</t>
  </si>
  <si>
    <t>Q1c_HERO</t>
  </si>
  <si>
    <t>Q1c_JET</t>
  </si>
  <si>
    <t>Q1c_KENT</t>
  </si>
  <si>
    <t>Q1c_MARLBORO</t>
  </si>
  <si>
    <t>Q1c_MELIA</t>
  </si>
  <si>
    <t>Q1c_PRINCE</t>
  </si>
  <si>
    <t>Q1c_SAIGON</t>
  </si>
  <si>
    <t>Q1c_TOURANCE</t>
  </si>
  <si>
    <t>Q1c_VINATABA</t>
  </si>
  <si>
    <t>Q1c_WARHORSE</t>
  </si>
  <si>
    <t>Q1c_WEST</t>
  </si>
  <si>
    <t>Q1c_WINSTON</t>
  </si>
  <si>
    <t>Q1c_YETT</t>
  </si>
  <si>
    <t>Q1c_ORIS</t>
  </si>
  <si>
    <t>Q1c_PINE</t>
  </si>
  <si>
    <t>Q1c_EAGLE</t>
  </si>
  <si>
    <t>Q1c_CAPRI</t>
  </si>
  <si>
    <t>Q1c_CAPTAIN</t>
  </si>
  <si>
    <t>Q2a_555</t>
  </si>
  <si>
    <t>Q2a_BASTION</t>
  </si>
  <si>
    <t>Q2a_BOSS</t>
  </si>
  <si>
    <t>Q2a_COTAB</t>
  </si>
  <si>
    <t>Q2a_DONATABA</t>
  </si>
  <si>
    <t>Q2a_Dunhill</t>
  </si>
  <si>
    <t>Q2a_ERA</t>
  </si>
  <si>
    <t>Q2a_ESSE</t>
  </si>
  <si>
    <t>Q2a_EVEREST</t>
  </si>
  <si>
    <t>Q2a_FINE</t>
  </si>
  <si>
    <t>Q2a_HERO</t>
  </si>
  <si>
    <t>Q2a_JET</t>
  </si>
  <si>
    <t>Q2a_KENT</t>
  </si>
  <si>
    <t>Q2a_MARLBORO</t>
  </si>
  <si>
    <t>Q2a_MELIA</t>
  </si>
  <si>
    <t>Q2a_PRINCE</t>
  </si>
  <si>
    <t>Q2a_SAIGON</t>
  </si>
  <si>
    <t>Q2a_TOURANCE</t>
  </si>
  <si>
    <t>Q2a_VINATABA</t>
  </si>
  <si>
    <t>Q2a_WARHORSE</t>
  </si>
  <si>
    <t>Q2a_WEST</t>
  </si>
  <si>
    <t>Q2a_WINSTON</t>
  </si>
  <si>
    <t>Q2a_YETT</t>
  </si>
  <si>
    <t>Q2a_ORIS</t>
  </si>
  <si>
    <t>Q2a_PINE</t>
  </si>
  <si>
    <t>Q2a_EAGLE</t>
  </si>
  <si>
    <t>Q2a_CAPRI</t>
  </si>
  <si>
    <t>Q2a_CAPTAIN</t>
  </si>
  <si>
    <t>Q2d_555</t>
  </si>
  <si>
    <t>Q2d_BASTION</t>
  </si>
  <si>
    <t>Q2d_BOSS</t>
  </si>
  <si>
    <t>Q2d_COTAB</t>
  </si>
  <si>
    <t>Q2d_DONATABA</t>
  </si>
  <si>
    <t>Q2d_Dunhill</t>
  </si>
  <si>
    <t>Q2d_ERA</t>
  </si>
  <si>
    <t>Q2d_ESSE</t>
  </si>
  <si>
    <t>Q2d_EVEREST</t>
  </si>
  <si>
    <t>Q2d_FINE</t>
  </si>
  <si>
    <t>Q2d_HERO</t>
  </si>
  <si>
    <t>Q2d_JET</t>
  </si>
  <si>
    <t>Q2d_KENT</t>
  </si>
  <si>
    <t>Q2d_MARLBORO</t>
  </si>
  <si>
    <t>Q2d_MELIA</t>
  </si>
  <si>
    <t>Q2d_PRINCE</t>
  </si>
  <si>
    <t>Q2d_SAIGON</t>
  </si>
  <si>
    <t>Q2d_TOURANCE</t>
  </si>
  <si>
    <t>Q2d_VINATABA</t>
  </si>
  <si>
    <t>Q2d_WARHORSE</t>
  </si>
  <si>
    <t>Q2d_WEST</t>
  </si>
  <si>
    <t>Q2d_WINSTON</t>
  </si>
  <si>
    <t>Q2d_YETT</t>
  </si>
  <si>
    <t>Q2d_ORIS</t>
  </si>
  <si>
    <t>Q2d_PINE</t>
  </si>
  <si>
    <t>Q2d_EAGLE</t>
  </si>
  <si>
    <t>Q2d_CAPRI</t>
  </si>
  <si>
    <t>Q2d_CAPTAIN</t>
  </si>
  <si>
    <t>Q2d_DK</t>
  </si>
  <si>
    <t>Q15_5000</t>
  </si>
  <si>
    <t>Q15_4000</t>
  </si>
  <si>
    <t>Q15_3000</t>
  </si>
  <si>
    <t>Q15_2000</t>
  </si>
  <si>
    <t>Q15_1000</t>
  </si>
  <si>
    <t>Q15_500</t>
  </si>
  <si>
    <t>Q19_555</t>
  </si>
  <si>
    <t>Q19_BASTION</t>
  </si>
  <si>
    <t>Q19_BASTOS</t>
  </si>
  <si>
    <t>Q19_BOSS</t>
  </si>
  <si>
    <t>Q19_COTAB</t>
  </si>
  <si>
    <t>Q19_DONATABA</t>
  </si>
  <si>
    <t>Q19_Dunhill</t>
  </si>
  <si>
    <t>Q19_ERA</t>
  </si>
  <si>
    <t>Q19_ESSE</t>
  </si>
  <si>
    <t>Q19_EVEREST</t>
  </si>
  <si>
    <t>Q19_FINE</t>
  </si>
  <si>
    <t>Q19_HERO</t>
  </si>
  <si>
    <t>Q19_JET</t>
  </si>
  <si>
    <t>Q19_KENT</t>
  </si>
  <si>
    <t>Q19_MARLBORO</t>
  </si>
  <si>
    <t>Q19_MELIA</t>
  </si>
  <si>
    <t>Q19_PRINCE</t>
  </si>
  <si>
    <t>Q19_SAIGON</t>
  </si>
  <si>
    <t>Q19_TOURANCE</t>
  </si>
  <si>
    <t>Q19_VINATABA</t>
  </si>
  <si>
    <t>Q19_WARHORSE</t>
  </si>
  <si>
    <t>Q19_WEST</t>
  </si>
  <si>
    <t>Q19_WINSTON</t>
  </si>
  <si>
    <t>Q19_YETT</t>
  </si>
  <si>
    <t>Q19_ORIS</t>
  </si>
  <si>
    <t>Q19_PINE</t>
  </si>
  <si>
    <t>Q19_EAGLE</t>
  </si>
  <si>
    <t>Q19_CAPRI</t>
  </si>
  <si>
    <t>Q19_CAPTAIN</t>
  </si>
  <si>
    <t>Q20_R0001_555</t>
  </si>
  <si>
    <t>Q20_R0001_BASTION</t>
  </si>
  <si>
    <t>Q20_R0001_BASTOS</t>
  </si>
  <si>
    <t>Q20_R0001_BOSS</t>
  </si>
  <si>
    <t>Q20_R0001_COTAB</t>
  </si>
  <si>
    <t>Q20_R0001_DONATABA</t>
  </si>
  <si>
    <t>Q20_R0001_Dunhill</t>
  </si>
  <si>
    <t>Q20_R0001_ERA</t>
  </si>
  <si>
    <t>Q20_R0001_ESSE</t>
  </si>
  <si>
    <t>Q20_R0001_EVEREST</t>
  </si>
  <si>
    <t>Q20_R0001_FINE</t>
  </si>
  <si>
    <t>Q20_R0001_HERO</t>
  </si>
  <si>
    <t>Q20_R0001_JET</t>
  </si>
  <si>
    <t>Q20_R0001_KENT</t>
  </si>
  <si>
    <t>Q20_R0001_MARLBORO</t>
  </si>
  <si>
    <t>Q20_R0001_MELIA</t>
  </si>
  <si>
    <t>Q20_R0001_PRINCE</t>
  </si>
  <si>
    <t>Q20_R0001_SAIGON</t>
  </si>
  <si>
    <t>Q20_R0001_TOURANCE</t>
  </si>
  <si>
    <t>Q20_R0001_VINATABA</t>
  </si>
  <si>
    <t>Q20_R0001_WARHORSE</t>
  </si>
  <si>
    <t>Q20_R0001_WEST</t>
  </si>
  <si>
    <t>Q20_R0001_WINSTON</t>
  </si>
  <si>
    <t>Q20_R0001_YETT</t>
  </si>
  <si>
    <t>Q20_R0001_ORIS</t>
  </si>
  <si>
    <t>Q20_R0001_PINE</t>
  </si>
  <si>
    <t>Q20_R0001_EAGLE</t>
  </si>
  <si>
    <t>Q20_R0001_CAPRI</t>
  </si>
  <si>
    <t>Q20_R0001_CAPTAIN</t>
  </si>
  <si>
    <t>Q20_R0001_DK</t>
  </si>
  <si>
    <t>Q20_R0002_555</t>
  </si>
  <si>
    <t>Q20_R0002_BASTION</t>
  </si>
  <si>
    <t>Q20_R0002_BASTOS</t>
  </si>
  <si>
    <t>Q20_R0002_BOSS</t>
  </si>
  <si>
    <t>Q20_R0002_COTAB</t>
  </si>
  <si>
    <t>Q20_R0002_DONATABA</t>
  </si>
  <si>
    <t>Q20_R0002_Dunhill</t>
  </si>
  <si>
    <t>Q20_R0002_ERA</t>
  </si>
  <si>
    <t>Q20_R0002_ESSE</t>
  </si>
  <si>
    <t>Q20_R0002_EVEREST</t>
  </si>
  <si>
    <t>Q20_R0002_FINE</t>
  </si>
  <si>
    <t>Q20_R0002_HERO</t>
  </si>
  <si>
    <t>Q20_R0002_JET</t>
  </si>
  <si>
    <t>Q20_R0002_KENT</t>
  </si>
  <si>
    <t>Q20_R0002_MARLBORO</t>
  </si>
  <si>
    <t>Q20_R0002_MELIA</t>
  </si>
  <si>
    <t>Q20_R0002_PRINCE</t>
  </si>
  <si>
    <t>Q20_R0002_SAIGON</t>
  </si>
  <si>
    <t>Q20_R0002_TOURANCE</t>
  </si>
  <si>
    <t>Q20_R0002_VINATABA</t>
  </si>
  <si>
    <t>Q20_R0002_WARHORSE</t>
  </si>
  <si>
    <t>Q20_R0002_WEST</t>
  </si>
  <si>
    <t>Q20_R0002_WINSTON</t>
  </si>
  <si>
    <t>Q20_R0002_YETT</t>
  </si>
  <si>
    <t>Q20_R0002_ORIS</t>
  </si>
  <si>
    <t>Q20_R0002_PINE</t>
  </si>
  <si>
    <t>Q20_R0002_EAGLE</t>
  </si>
  <si>
    <t>Q20_R0002_CAPRI</t>
  </si>
  <si>
    <t>Q20_R0002_CAPTAIN</t>
  </si>
  <si>
    <t>Q20_R0002_DK</t>
  </si>
  <si>
    <t>Q20_R0003_555</t>
  </si>
  <si>
    <t>Q20_R0003_BASTION</t>
  </si>
  <si>
    <t>Q20_R0003_BASTOS</t>
  </si>
  <si>
    <t>Q20_R0003_BOSS</t>
  </si>
  <si>
    <t>Q20_R0003_COTAB</t>
  </si>
  <si>
    <t>Q20_R0003_DONATABA</t>
  </si>
  <si>
    <t>Q20_R0003_Dunhill</t>
  </si>
  <si>
    <t>Q20_R0003_ERA</t>
  </si>
  <si>
    <t>Q20_R0003_ESSE</t>
  </si>
  <si>
    <t>Q20_R0003_EVEREST</t>
  </si>
  <si>
    <t>Q20_R0003_FINE</t>
  </si>
  <si>
    <t>Q20_R0003_HERO</t>
  </si>
  <si>
    <t>Q20_R0003_JET</t>
  </si>
  <si>
    <t>Q20_R0003_KENT</t>
  </si>
  <si>
    <t>Q20_R0003_MARLBORO</t>
  </si>
  <si>
    <t>Q20_R0003_MELIA</t>
  </si>
  <si>
    <t>Q20_R0003_PRINCE</t>
  </si>
  <si>
    <t>Q20_R0003_SAIGON</t>
  </si>
  <si>
    <t>Q20_R0003_TOURANCE</t>
  </si>
  <si>
    <t>Q20_R0003_VINATABA</t>
  </si>
  <si>
    <t>Q20_R0003_WARHORSE</t>
  </si>
  <si>
    <t>Q20_R0003_WEST</t>
  </si>
  <si>
    <t>Q20_R0003_WINSTON</t>
  </si>
  <si>
    <t>Q20_R0003_YETT</t>
  </si>
  <si>
    <t>Q20_R0003_ORIS</t>
  </si>
  <si>
    <t>Q20_R0003_PINE</t>
  </si>
  <si>
    <t>Q20_R0003_EAGLE</t>
  </si>
  <si>
    <t>Q20_R0003_CAPRI</t>
  </si>
  <si>
    <t>Q20_R0003_CAPTAIN</t>
  </si>
  <si>
    <t>Q20_R0003_DK</t>
  </si>
  <si>
    <t>Q20_R0004_555</t>
  </si>
  <si>
    <t>Q20_R0004_BASTION</t>
  </si>
  <si>
    <t>Q20_R0004_BASTOS</t>
  </si>
  <si>
    <t>Q20_R0004_BOSS</t>
  </si>
  <si>
    <t>Q20_R0004_COTAB</t>
  </si>
  <si>
    <t>Q20_R0004_DONATABA</t>
  </si>
  <si>
    <t>Q20_R0004_Dunhill</t>
  </si>
  <si>
    <t>Q20_R0004_ERA</t>
  </si>
  <si>
    <t>Q20_R0004_ESSE</t>
  </si>
  <si>
    <t>Q20_R0004_EVEREST</t>
  </si>
  <si>
    <t>Q20_R0004_FINE</t>
  </si>
  <si>
    <t>Q20_R0004_HERO</t>
  </si>
  <si>
    <t>Q20_R0004_JET</t>
  </si>
  <si>
    <t>Q20_R0004_KENT</t>
  </si>
  <si>
    <t>Q20_R0004_MARLBORO</t>
  </si>
  <si>
    <t>Q20_R0004_MELIA</t>
  </si>
  <si>
    <t>Q20_R0004_PRINCE</t>
  </si>
  <si>
    <t>Q20_R0004_SAIGON</t>
  </si>
  <si>
    <t>Q20_R0004_TOURANCE</t>
  </si>
  <si>
    <t>Q20_R0004_VINATABA</t>
  </si>
  <si>
    <t>Q20_R0004_WARHORSE</t>
  </si>
  <si>
    <t>Q20_R0004_WEST</t>
  </si>
  <si>
    <t>Q20_R0004_WINSTON</t>
  </si>
  <si>
    <t>Q20_R0004_YETT</t>
  </si>
  <si>
    <t>Q20_R0004_ORIS</t>
  </si>
  <si>
    <t>Q20_R0004_PINE</t>
  </si>
  <si>
    <t>Q20_R0004_EAGLE</t>
  </si>
  <si>
    <t>Q20_R0004_CAPRI</t>
  </si>
  <si>
    <t>Q20_R0004_CAPTAIN</t>
  </si>
  <si>
    <t>Q20_R0004_DK</t>
  </si>
  <si>
    <t>Q20_R0005_555</t>
  </si>
  <si>
    <t>Q20_R0005_BASTION</t>
  </si>
  <si>
    <t>Q20_R0005_BASTOS</t>
  </si>
  <si>
    <t>Q20_R0005_BOSS</t>
  </si>
  <si>
    <t>Q20_R0005_COTAB</t>
  </si>
  <si>
    <t>Q20_R0005_DONATABA</t>
  </si>
  <si>
    <t>Q20_R0005_Dunhill</t>
  </si>
  <si>
    <t>Q20_R0005_ERA</t>
  </si>
  <si>
    <t>Q20_R0005_ESSE</t>
  </si>
  <si>
    <t>Q20_R0005_EVEREST</t>
  </si>
  <si>
    <t>Q20_R0005_FINE</t>
  </si>
  <si>
    <t>Q20_R0005_HERO</t>
  </si>
  <si>
    <t>Q20_R0005_JET</t>
  </si>
  <si>
    <t>Q20_R0005_KENT</t>
  </si>
  <si>
    <t>Q20_R0005_MARLBORO</t>
  </si>
  <si>
    <t>Q20_R0005_MELIA</t>
  </si>
  <si>
    <t>Q20_R0005_PRINCE</t>
  </si>
  <si>
    <t>Q20_R0005_SAIGON</t>
  </si>
  <si>
    <t>Q20_R0005_TOURANCE</t>
  </si>
  <si>
    <t>Q20_R0005_VINATABA</t>
  </si>
  <si>
    <t>Q20_R0005_WARHORSE</t>
  </si>
  <si>
    <t>Q20_R0005_WEST</t>
  </si>
  <si>
    <t>Q20_R0005_WINSTON</t>
  </si>
  <si>
    <t>Q20_R0005_YETT</t>
  </si>
  <si>
    <t>Q20_R0005_ORIS</t>
  </si>
  <si>
    <t>Q20_R0005_PINE</t>
  </si>
  <si>
    <t>Q20_R0005_EAGLE</t>
  </si>
  <si>
    <t>Q20_R0005_CAPRI</t>
  </si>
  <si>
    <t>Q20_R0005_CAPTAIN</t>
  </si>
  <si>
    <t>Q20_R0005_DK</t>
  </si>
  <si>
    <t>Q20_R0006_555</t>
  </si>
  <si>
    <t>Q20_R0006_BASTION</t>
  </si>
  <si>
    <t>Q20_R0006_BASTOS</t>
  </si>
  <si>
    <t>Q20_R0006_BOSS</t>
  </si>
  <si>
    <t>Q20_R0006_COTAB</t>
  </si>
  <si>
    <t>Q20_R0006_DONATABA</t>
  </si>
  <si>
    <t>Q20_R0006_Dunhill</t>
  </si>
  <si>
    <t>Q20_R0006_ERA</t>
  </si>
  <si>
    <t>Q20_R0006_ESSE</t>
  </si>
  <si>
    <t>Q20_R0006_EVEREST</t>
  </si>
  <si>
    <t>Q20_R0006_FINE</t>
  </si>
  <si>
    <t>Q20_R0006_HERO</t>
  </si>
  <si>
    <t>Q20_R0006_JET</t>
  </si>
  <si>
    <t>Q20_R0006_KENT</t>
  </si>
  <si>
    <t>Q20_R0006_MARLBORO</t>
  </si>
  <si>
    <t>Q20_R0006_MELIA</t>
  </si>
  <si>
    <t>Q20_R0006_PRINCE</t>
  </si>
  <si>
    <t>Q20_R0006_SAIGON</t>
  </si>
  <si>
    <t>Q20_R0006_TOURANCE</t>
  </si>
  <si>
    <t>Q20_R0006_VINATABA</t>
  </si>
  <si>
    <t>Q20_R0006_WARHORSE</t>
  </si>
  <si>
    <t>Q20_R0006_WEST</t>
  </si>
  <si>
    <t>Q20_R0006_WINSTON</t>
  </si>
  <si>
    <t>Q20_R0006_YETT</t>
  </si>
  <si>
    <t>Q20_R0006_ORIS</t>
  </si>
  <si>
    <t>Q20_R0006_PINE</t>
  </si>
  <si>
    <t>Q20_R0006_EAGLE</t>
  </si>
  <si>
    <t>Q20_R0006_CAPRI</t>
  </si>
  <si>
    <t>Q20_R0006_CAPTAIN</t>
  </si>
  <si>
    <t>Q20_R0006_DK</t>
  </si>
  <si>
    <t>Q20_R0007_555</t>
  </si>
  <si>
    <t>Q20_R0007_BASTION</t>
  </si>
  <si>
    <t>Q20_R0007_BASTOS</t>
  </si>
  <si>
    <t>Q20_R0007_BOSS</t>
  </si>
  <si>
    <t>Q20_R0007_COTAB</t>
  </si>
  <si>
    <t>Q20_R0007_DONATABA</t>
  </si>
  <si>
    <t>Q20_R0007_Dunhill</t>
  </si>
  <si>
    <t>Q20_R0007_ERA</t>
  </si>
  <si>
    <t>Q20_R0007_ESSE</t>
  </si>
  <si>
    <t>Q20_R0007_EVEREST</t>
  </si>
  <si>
    <t>Q20_R0007_FINE</t>
  </si>
  <si>
    <t>Q20_R0007_HERO</t>
  </si>
  <si>
    <t>Q20_R0007_JET</t>
  </si>
  <si>
    <t>Q20_R0007_KENT</t>
  </si>
  <si>
    <t>Q20_R0007_MARLBORO</t>
  </si>
  <si>
    <t>Q20_R0007_MELIA</t>
  </si>
  <si>
    <t>Q20_R0007_PRINCE</t>
  </si>
  <si>
    <t>Q20_R0007_SAIGON</t>
  </si>
  <si>
    <t>Q20_R0007_TOURANCE</t>
  </si>
  <si>
    <t>Q20_R0007_VINATABA</t>
  </si>
  <si>
    <t>Q20_R0007_WARHORSE</t>
  </si>
  <si>
    <t>Q20_R0007_WEST</t>
  </si>
  <si>
    <t>Q20_R0007_WINSTON</t>
  </si>
  <si>
    <t>Q20_R0007_YETT</t>
  </si>
  <si>
    <t>Q20_R0007_ORIS</t>
  </si>
  <si>
    <t>Q20_R0007_PINE</t>
  </si>
  <si>
    <t>Q20_R0007_EAGLE</t>
  </si>
  <si>
    <t>Q20_R0007_CAPRI</t>
  </si>
  <si>
    <t>Q20_R0007_CAPTAIN</t>
  </si>
  <si>
    <t>Q20_R0007_DK</t>
  </si>
  <si>
    <t>Q20_R0008_555</t>
  </si>
  <si>
    <t>Q20_R0008_BASTION</t>
  </si>
  <si>
    <t>Q20_R0008_BASTOS</t>
  </si>
  <si>
    <t>Q20_R0008_BOSS</t>
  </si>
  <si>
    <t>Q20_R0008_COTAB</t>
  </si>
  <si>
    <t>Q20_R0008_DONATABA</t>
  </si>
  <si>
    <t>Q20_R0008_Dunhill</t>
  </si>
  <si>
    <t>Q20_R0008_ERA</t>
  </si>
  <si>
    <t>Q20_R0008_ESSE</t>
  </si>
  <si>
    <t>Q20_R0008_EVEREST</t>
  </si>
  <si>
    <t>Q20_R0008_FINE</t>
  </si>
  <si>
    <t>Q20_R0008_HERO</t>
  </si>
  <si>
    <t>Q20_R0008_JET</t>
  </si>
  <si>
    <t>Q20_R0008_KENT</t>
  </si>
  <si>
    <t>Q20_R0008_MARLBORO</t>
  </si>
  <si>
    <t>Q20_R0008_MELIA</t>
  </si>
  <si>
    <t>Q20_R0008_PRINCE</t>
  </si>
  <si>
    <t>Q20_R0008_SAIGON</t>
  </si>
  <si>
    <t>Q20_R0008_TOURANCE</t>
  </si>
  <si>
    <t>Q20_R0008_VINATABA</t>
  </si>
  <si>
    <t>Q20_R0008_WARHORSE</t>
  </si>
  <si>
    <t>Q20_R0008_WEST</t>
  </si>
  <si>
    <t>Q20_R0008_WINSTON</t>
  </si>
  <si>
    <t>Q20_R0008_YETT</t>
  </si>
  <si>
    <t>Q20_R0008_ORIS</t>
  </si>
  <si>
    <t>Q20_R0008_PINE</t>
  </si>
  <si>
    <t>Q20_R0008_EAGLE</t>
  </si>
  <si>
    <t>Q20_R0008_CAPRI</t>
  </si>
  <si>
    <t>Q20_R0008_CAPTAIN</t>
  </si>
  <si>
    <t>Q20_R0008_DK</t>
  </si>
  <si>
    <t>Q20_R0009_555</t>
  </si>
  <si>
    <t>Q20_R0009_BASTION</t>
  </si>
  <si>
    <t>Q20_R0009_BASTOS</t>
  </si>
  <si>
    <t>Q20_R0009_BOSS</t>
  </si>
  <si>
    <t>Q20_R0009_COTAB</t>
  </si>
  <si>
    <t>Q20_R0009_DONATABA</t>
  </si>
  <si>
    <t>Q20_R0009_Dunhill</t>
  </si>
  <si>
    <t>Q20_R0009_ERA</t>
  </si>
  <si>
    <t>Q20_R0009_ESSE</t>
  </si>
  <si>
    <t>Q20_R0009_EVEREST</t>
  </si>
  <si>
    <t>Q20_R0009_FINE</t>
  </si>
  <si>
    <t>Q20_R0009_HERO</t>
  </si>
  <si>
    <t>Q20_R0009_JET</t>
  </si>
  <si>
    <t>Q20_R0009_KENT</t>
  </si>
  <si>
    <t>Q20_R0009_MARLBORO</t>
  </si>
  <si>
    <t>Q20_R0009_MELIA</t>
  </si>
  <si>
    <t>Q20_R0009_PRINCE</t>
  </si>
  <si>
    <t>Q20_R0009_SAIGON</t>
  </si>
  <si>
    <t>Q20_R0009_TOURANCE</t>
  </si>
  <si>
    <t>Q20_R0009_VINATABA</t>
  </si>
  <si>
    <t>Q20_R0009_WARHORSE</t>
  </si>
  <si>
    <t>Q20_R0009_WEST</t>
  </si>
  <si>
    <t>Q20_R0009_WINSTON</t>
  </si>
  <si>
    <t>Q20_R0009_YETT</t>
  </si>
  <si>
    <t>Q20_R0009_ORIS</t>
  </si>
  <si>
    <t>Q20_R0009_PINE</t>
  </si>
  <si>
    <t>Q20_R0009_EAGLE</t>
  </si>
  <si>
    <t>Q20_R0009_CAPRI</t>
  </si>
  <si>
    <t>Q20_R0009_CAPTAIN</t>
  </si>
  <si>
    <t>Q20_R0009_DK</t>
  </si>
  <si>
    <t>Q20_R0010_555</t>
  </si>
  <si>
    <t>Q20_R0010_BASTION</t>
  </si>
  <si>
    <t>Q20_R0010_BASTOS</t>
  </si>
  <si>
    <t>Q20_R0010_BOSS</t>
  </si>
  <si>
    <t>Q20_R0010_COTAB</t>
  </si>
  <si>
    <t>Q20_R0010_DONATABA</t>
  </si>
  <si>
    <t>Q20_R0010_Dunhill</t>
  </si>
  <si>
    <t>Q20_R0010_ERA</t>
  </si>
  <si>
    <t>Q20_R0010_ESSE</t>
  </si>
  <si>
    <t>Q20_R0010_EVEREST</t>
  </si>
  <si>
    <t>Q20_R0010_FINE</t>
  </si>
  <si>
    <t>Q20_R0010_HERO</t>
  </si>
  <si>
    <t>Q20_R0010_JET</t>
  </si>
  <si>
    <t>Q20_R0010_KENT</t>
  </si>
  <si>
    <t>Q20_R0010_MARLBORO</t>
  </si>
  <si>
    <t>Q20_R0010_MELIA</t>
  </si>
  <si>
    <t>Q20_R0010_PRINCE</t>
  </si>
  <si>
    <t>Q20_R0010_SAIGON</t>
  </si>
  <si>
    <t>Q20_R0010_TOURANCE</t>
  </si>
  <si>
    <t>Q20_R0010_VINATABA</t>
  </si>
  <si>
    <t>Q20_R0010_WARHORSE</t>
  </si>
  <si>
    <t>Q20_R0010_WEST</t>
  </si>
  <si>
    <t>Q20_R0010_WINSTON</t>
  </si>
  <si>
    <t>Q20_R0010_YETT</t>
  </si>
  <si>
    <t>Q20_R0010_ORIS</t>
  </si>
  <si>
    <t>Q20_R0010_PINE</t>
  </si>
  <si>
    <t>Q20_R0010_EAGLE</t>
  </si>
  <si>
    <t>Q20_R0010_CAPRI</t>
  </si>
  <si>
    <t>Q20_R0010_CAPTAIN</t>
  </si>
  <si>
    <t>Q20_R0010_DK</t>
  </si>
  <si>
    <t>Q20_R0011_555</t>
  </si>
  <si>
    <t>Q20_R0011_BASTION</t>
  </si>
  <si>
    <t>Q20_R0011_BASTOS</t>
  </si>
  <si>
    <t>Q20_R0011_BOSS</t>
  </si>
  <si>
    <t>Q20_R0011_COTAB</t>
  </si>
  <si>
    <t>Q20_R0011_DONATABA</t>
  </si>
  <si>
    <t>Q20_R0011_Dunhill</t>
  </si>
  <si>
    <t>Q20_R0011_ERA</t>
  </si>
  <si>
    <t>Q20_R0011_ESSE</t>
  </si>
  <si>
    <t>Q20_R0011_EVEREST</t>
  </si>
  <si>
    <t>Q20_R0011_FINE</t>
  </si>
  <si>
    <t>Q20_R0011_HERO</t>
  </si>
  <si>
    <t>Q20_R0011_JET</t>
  </si>
  <si>
    <t>Q20_R0011_KENT</t>
  </si>
  <si>
    <t>Q20_R0011_MARLBORO</t>
  </si>
  <si>
    <t>Q20_R0011_MELIA</t>
  </si>
  <si>
    <t>Q20_R0011_PRINCE</t>
  </si>
  <si>
    <t>Q20_R0011_SAIGON</t>
  </si>
  <si>
    <t>Q20_R0011_TOURANCE</t>
  </si>
  <si>
    <t>Q20_R0011_VINATABA</t>
  </si>
  <si>
    <t>Q20_R0011_WARHORSE</t>
  </si>
  <si>
    <t>Q20_R0011_WEST</t>
  </si>
  <si>
    <t>Q20_R0011_WINSTON</t>
  </si>
  <si>
    <t>Q20_R0011_YETT</t>
  </si>
  <si>
    <t>Q20_R0011_ORIS</t>
  </si>
  <si>
    <t>Q20_R0011_PINE</t>
  </si>
  <si>
    <t>Q20_R0011_EAGLE</t>
  </si>
  <si>
    <t>Q20_R0011_CAPRI</t>
  </si>
  <si>
    <t>Q20_R0011_CAPTAIN</t>
  </si>
  <si>
    <t>Q20_R0011_DK</t>
  </si>
  <si>
    <t>Q20_R0012_555</t>
  </si>
  <si>
    <t>Q20_R0012_BASTION</t>
  </si>
  <si>
    <t>Q20_R0012_BASTOS</t>
  </si>
  <si>
    <t>Q20_R0012_BOSS</t>
  </si>
  <si>
    <t>Q20_R0012_COTAB</t>
  </si>
  <si>
    <t>Q20_R0012_DONATABA</t>
  </si>
  <si>
    <t>Q20_R0012_Dunhill</t>
  </si>
  <si>
    <t>Q20_R0012_ERA</t>
  </si>
  <si>
    <t>Q20_R0012_ESSE</t>
  </si>
  <si>
    <t>Q20_R0012_EVEREST</t>
  </si>
  <si>
    <t>Q20_R0012_FINE</t>
  </si>
  <si>
    <t>Q20_R0012_HERO</t>
  </si>
  <si>
    <t>Q20_R0012_JET</t>
  </si>
  <si>
    <t>Q20_R0012_KENT</t>
  </si>
  <si>
    <t>Q20_R0012_MARLBORO</t>
  </si>
  <si>
    <t>Q20_R0012_MELIA</t>
  </si>
  <si>
    <t>Q20_R0012_PRINCE</t>
  </si>
  <si>
    <t>Q20_R0012_SAIGON</t>
  </si>
  <si>
    <t>Q20_R0012_TOURANCE</t>
  </si>
  <si>
    <t>Q20_R0012_VINATABA</t>
  </si>
  <si>
    <t>Q20_R0012_WARHORSE</t>
  </si>
  <si>
    <t>Q20_R0012_WEST</t>
  </si>
  <si>
    <t>Q20_R0012_WINSTON</t>
  </si>
  <si>
    <t>Q20_R0012_YETT</t>
  </si>
  <si>
    <t>Q20_R0012_ORIS</t>
  </si>
  <si>
    <t>Q20_R0012_PINE</t>
  </si>
  <si>
    <t>Q20_R0012_EAGLE</t>
  </si>
  <si>
    <t>Q20_R0012_CAPRI</t>
  </si>
  <si>
    <t>Q20_R0012_CAPTAIN</t>
  </si>
  <si>
    <t>Q20_R0012_DK</t>
  </si>
  <si>
    <t>Q20_R0013_555</t>
  </si>
  <si>
    <t>Q20_R0013_BASTION</t>
  </si>
  <si>
    <t>Q20_R0013_BASTOS</t>
  </si>
  <si>
    <t>Q20_R0013_BOSS</t>
  </si>
  <si>
    <t>Q20_R0013_COTAB</t>
  </si>
  <si>
    <t>Q20_R0013_DONATABA</t>
  </si>
  <si>
    <t>Q20_R0013_Dunhill</t>
  </si>
  <si>
    <t>Q20_R0013_ERA</t>
  </si>
  <si>
    <t>Q20_R0013_ESSE</t>
  </si>
  <si>
    <t>Q20_R0013_EVEREST</t>
  </si>
  <si>
    <t>Q20_R0013_FINE</t>
  </si>
  <si>
    <t>Q20_R0013_HERO</t>
  </si>
  <si>
    <t>Q20_R0013_JET</t>
  </si>
  <si>
    <t>Q20_R0013_KENT</t>
  </si>
  <si>
    <t>Q20_R0013_MARLBORO</t>
  </si>
  <si>
    <t>Q20_R0013_MELIA</t>
  </si>
  <si>
    <t>Q20_R0013_PRINCE</t>
  </si>
  <si>
    <t>Q20_R0013_SAIGON</t>
  </si>
  <si>
    <t>Q20_R0013_TOURANCE</t>
  </si>
  <si>
    <t>Q20_R0013_VINATABA</t>
  </si>
  <si>
    <t>Q20_R0013_WARHORSE</t>
  </si>
  <si>
    <t>Q20_R0013_WEST</t>
  </si>
  <si>
    <t>Q20_R0013_WINSTON</t>
  </si>
  <si>
    <t>Q20_R0013_YETT</t>
  </si>
  <si>
    <t>Q20_R0013_ORIS</t>
  </si>
  <si>
    <t>Q20_R0013_PINE</t>
  </si>
  <si>
    <t>Q20_R0013_EAGLE</t>
  </si>
  <si>
    <t>Q20_R0013_CAPRI</t>
  </si>
  <si>
    <t>Q20_R0013_CAPTAIN</t>
  </si>
  <si>
    <t>Q20_R0013_DK</t>
  </si>
  <si>
    <t>Q20_R0014_555</t>
  </si>
  <si>
    <t>Q20_R0014_BASTION</t>
  </si>
  <si>
    <t>Q20_R0014_BASTOS</t>
  </si>
  <si>
    <t>Q20_R0014_BOSS</t>
  </si>
  <si>
    <t>Q20_R0014_COTAB</t>
  </si>
  <si>
    <t>Q20_R0014_DONATABA</t>
  </si>
  <si>
    <t>Q20_R0014_Dunhill</t>
  </si>
  <si>
    <t>Q20_R0014_ERA</t>
  </si>
  <si>
    <t>Q20_R0014_ESSE</t>
  </si>
  <si>
    <t>Q20_R0014_EVEREST</t>
  </si>
  <si>
    <t>Q20_R0014_FINE</t>
  </si>
  <si>
    <t>Q20_R0014_HERO</t>
  </si>
  <si>
    <t>Q20_R0014_JET</t>
  </si>
  <si>
    <t>Q20_R0014_KENT</t>
  </si>
  <si>
    <t>Q20_R0014_MARLBORO</t>
  </si>
  <si>
    <t>Q20_R0014_MELIA</t>
  </si>
  <si>
    <t>Q20_R0014_PRINCE</t>
  </si>
  <si>
    <t>Q20_R0014_SAIGON</t>
  </si>
  <si>
    <t>Q20_R0014_TOURANCE</t>
  </si>
  <si>
    <t>Q20_R0014_VINATABA</t>
  </si>
  <si>
    <t>Q20_R0014_WARHORSE</t>
  </si>
  <si>
    <t>Q20_R0014_WEST</t>
  </si>
  <si>
    <t>Q20_R0014_WINSTON</t>
  </si>
  <si>
    <t>Q20_R0014_YETT</t>
  </si>
  <si>
    <t>Q20_R0014_ORIS</t>
  </si>
  <si>
    <t>Q20_R0014_PINE</t>
  </si>
  <si>
    <t>Q20_R0014_EAGLE</t>
  </si>
  <si>
    <t>Q20_R0014_CAPRI</t>
  </si>
  <si>
    <t>Q20_R0014_CAPTAIN</t>
  </si>
  <si>
    <t>Q20_R0014_DK</t>
  </si>
  <si>
    <t>Q20_R0015_555</t>
  </si>
  <si>
    <t>Q20_R0015_BASTION</t>
  </si>
  <si>
    <t>Q20_R0015_BASTOS</t>
  </si>
  <si>
    <t>Q20_R0015_BOSS</t>
  </si>
  <si>
    <t>Q20_R0015_COTAB</t>
  </si>
  <si>
    <t>Q20_R0015_DONATABA</t>
  </si>
  <si>
    <t>Q20_R0015_Dunhill</t>
  </si>
  <si>
    <t>Q20_R0015_ERA</t>
  </si>
  <si>
    <t>Q20_R0015_ESSE</t>
  </si>
  <si>
    <t>Q20_R0015_EVEREST</t>
  </si>
  <si>
    <t>Q20_R0015_FINE</t>
  </si>
  <si>
    <t>Q20_R0015_HERO</t>
  </si>
  <si>
    <t>Q20_R0015_JET</t>
  </si>
  <si>
    <t>Q20_R0015_KENT</t>
  </si>
  <si>
    <t>Q20_R0015_MARLBORO</t>
  </si>
  <si>
    <t>Q20_R0015_MELIA</t>
  </si>
  <si>
    <t>Q20_R0015_PRINCE</t>
  </si>
  <si>
    <t>Q20_R0015_SAIGON</t>
  </si>
  <si>
    <t>Q20_R0015_TOURANCE</t>
  </si>
  <si>
    <t>Q20_R0015_VINATABA</t>
  </si>
  <si>
    <t>Q20_R0015_WARHORSE</t>
  </si>
  <si>
    <t>Q20_R0015_WEST</t>
  </si>
  <si>
    <t>Q20_R0015_WINSTON</t>
  </si>
  <si>
    <t>Q20_R0015_YETT</t>
  </si>
  <si>
    <t>Q20_R0015_ORIS</t>
  </si>
  <si>
    <t>Q20_R0015_PINE</t>
  </si>
  <si>
    <t>Q20_R0015_EAGLE</t>
  </si>
  <si>
    <t>Q20_R0015_CAPRI</t>
  </si>
  <si>
    <t>Q20_R0015_CAPTAIN</t>
  </si>
  <si>
    <t>Q20_R0015_DK</t>
  </si>
  <si>
    <t>Q20_R0016_555</t>
  </si>
  <si>
    <t>Q20_R0016_BASTION</t>
  </si>
  <si>
    <t>Q20_R0016_BASTOS</t>
  </si>
  <si>
    <t>Q20_R0016_BOSS</t>
  </si>
  <si>
    <t>Q20_R0016_COTAB</t>
  </si>
  <si>
    <t>Q20_R0016_DONATABA</t>
  </si>
  <si>
    <t>Q20_R0016_Dunhill</t>
  </si>
  <si>
    <t>Q20_R0016_ERA</t>
  </si>
  <si>
    <t>Q20_R0016_ESSE</t>
  </si>
  <si>
    <t>Q20_R0016_EVEREST</t>
  </si>
  <si>
    <t>Q20_R0016_FINE</t>
  </si>
  <si>
    <t>Q20_R0016_HERO</t>
  </si>
  <si>
    <t>Q20_R0016_JET</t>
  </si>
  <si>
    <t>Q20_R0016_KENT</t>
  </si>
  <si>
    <t>Q20_R0016_MARLBORO</t>
  </si>
  <si>
    <t>Q20_R0016_MELIA</t>
  </si>
  <si>
    <t>Q20_R0016_PRINCE</t>
  </si>
  <si>
    <t>Q20_R0016_SAIGON</t>
  </si>
  <si>
    <t>Q20_R0016_TOURANCE</t>
  </si>
  <si>
    <t>Q20_R0016_VINATABA</t>
  </si>
  <si>
    <t>Q20_R0016_WARHORSE</t>
  </si>
  <si>
    <t>Q20_R0016_WEST</t>
  </si>
  <si>
    <t>Q20_R0016_WINSTON</t>
  </si>
  <si>
    <t>Q20_R0016_YETT</t>
  </si>
  <si>
    <t>Q20_R0016_ORIS</t>
  </si>
  <si>
    <t>Q20_R0016_PINE</t>
  </si>
  <si>
    <t>Q20_R0016_EAGLE</t>
  </si>
  <si>
    <t>Q20_R0016_CAPRI</t>
  </si>
  <si>
    <t>Q20_R0016_CAPTAIN</t>
  </si>
  <si>
    <t>Q20_R0016_DK</t>
  </si>
  <si>
    <t>Q20_R0017_555</t>
  </si>
  <si>
    <t>Q20_R0017_BASTION</t>
  </si>
  <si>
    <t>Q20_R0017_BASTOS</t>
  </si>
  <si>
    <t>Q20_R0017_BOSS</t>
  </si>
  <si>
    <t>Q20_R0017_COTAB</t>
  </si>
  <si>
    <t>Q20_R0017_DONATABA</t>
  </si>
  <si>
    <t>Q20_R0017_Dunhill</t>
  </si>
  <si>
    <t>Q20_R0017_ERA</t>
  </si>
  <si>
    <t>Q20_R0017_ESSE</t>
  </si>
  <si>
    <t>Q20_R0017_EVEREST</t>
  </si>
  <si>
    <t>Q20_R0017_FINE</t>
  </si>
  <si>
    <t>Q20_R0017_HERO</t>
  </si>
  <si>
    <t>Q20_R0017_JET</t>
  </si>
  <si>
    <t>Q20_R0017_KENT</t>
  </si>
  <si>
    <t>Q20_R0017_MARLBORO</t>
  </si>
  <si>
    <t>Q20_R0017_MELIA</t>
  </si>
  <si>
    <t>Q20_R0017_PRINCE</t>
  </si>
  <si>
    <t>Q20_R0017_SAIGON</t>
  </si>
  <si>
    <t>Q20_R0017_TOURANCE</t>
  </si>
  <si>
    <t>Q20_R0017_VINATABA</t>
  </si>
  <si>
    <t>Q20_R0017_WARHORSE</t>
  </si>
  <si>
    <t>Q20_R0017_WEST</t>
  </si>
  <si>
    <t>Q20_R0017_WINSTON</t>
  </si>
  <si>
    <t>Q20_R0017_YETT</t>
  </si>
  <si>
    <t>Q20_R0017_ORIS</t>
  </si>
  <si>
    <t>Q20_R0017_PINE</t>
  </si>
  <si>
    <t>Q20_R0017_EAGLE</t>
  </si>
  <si>
    <t>Q20_R0017_CAPRI</t>
  </si>
  <si>
    <t>Q20_R0017_CAPTAIN</t>
  </si>
  <si>
    <t>Q20_R0017_DK</t>
  </si>
  <si>
    <t>Q20_R0018_555</t>
  </si>
  <si>
    <t>Q20_R0018_BASTION</t>
  </si>
  <si>
    <t>Q20_R0018_BASTOS</t>
  </si>
  <si>
    <t>Q20_R0018_BOSS</t>
  </si>
  <si>
    <t>Q20_R0018_COTAB</t>
  </si>
  <si>
    <t>Q20_R0018_DONATABA</t>
  </si>
  <si>
    <t>Q20_R0018_Dunhill</t>
  </si>
  <si>
    <t>Q20_R0018_ERA</t>
  </si>
  <si>
    <t>Q20_R0018_ESSE</t>
  </si>
  <si>
    <t>Q20_R0018_EVEREST</t>
  </si>
  <si>
    <t>Q20_R0018_FINE</t>
  </si>
  <si>
    <t>Q20_R0018_HERO</t>
  </si>
  <si>
    <t>Q20_R0018_JET</t>
  </si>
  <si>
    <t>Q20_R0018_KENT</t>
  </si>
  <si>
    <t>Q20_R0018_MARLBORO</t>
  </si>
  <si>
    <t>Q20_R0018_MELIA</t>
  </si>
  <si>
    <t>Q20_R0018_PRINCE</t>
  </si>
  <si>
    <t>Q20_R0018_SAIGON</t>
  </si>
  <si>
    <t>Q20_R0018_TOURANCE</t>
  </si>
  <si>
    <t>Q20_R0018_VINATABA</t>
  </si>
  <si>
    <t>Q20_R0018_WARHORSE</t>
  </si>
  <si>
    <t>Q20_R0018_WEST</t>
  </si>
  <si>
    <t>Q20_R0018_WINSTON</t>
  </si>
  <si>
    <t>Q20_R0018_YETT</t>
  </si>
  <si>
    <t>Q20_R0018_ORIS</t>
  </si>
  <si>
    <t>Q20_R0018_PINE</t>
  </si>
  <si>
    <t>Q20_R0018_EAGLE</t>
  </si>
  <si>
    <t>Q20_R0018_CAPRI</t>
  </si>
  <si>
    <t>Q20_R0018_CAPTAIN</t>
  </si>
  <si>
    <t>Q20_R0018_DK</t>
  </si>
  <si>
    <t>Q20_R0019_555</t>
  </si>
  <si>
    <t>Q20_R0019_BASTION</t>
  </si>
  <si>
    <t>Q20_R0019_BASTOS</t>
  </si>
  <si>
    <t>Q20_R0019_BOSS</t>
  </si>
  <si>
    <t>Q20_R0019_COTAB</t>
  </si>
  <si>
    <t>Q20_R0019_DONATABA</t>
  </si>
  <si>
    <t>Q20_R0019_Dunhill</t>
  </si>
  <si>
    <t>Q20_R0019_ERA</t>
  </si>
  <si>
    <t>Q20_R0019_ESSE</t>
  </si>
  <si>
    <t>Q20_R0019_EVEREST</t>
  </si>
  <si>
    <t>Q20_R0019_FINE</t>
  </si>
  <si>
    <t>Q20_R0019_HERO</t>
  </si>
  <si>
    <t>Q20_R0019_JET</t>
  </si>
  <si>
    <t>Q20_R0019_KENT</t>
  </si>
  <si>
    <t>Q20_R0019_MARLBORO</t>
  </si>
  <si>
    <t>Q20_R0019_MELIA</t>
  </si>
  <si>
    <t>Q20_R0019_PRINCE</t>
  </si>
  <si>
    <t>Q20_R0019_SAIGON</t>
  </si>
  <si>
    <t>Q20_R0019_TOURANCE</t>
  </si>
  <si>
    <t>Q20_R0019_VINATABA</t>
  </si>
  <si>
    <t>Q20_R0019_WARHORSE</t>
  </si>
  <si>
    <t>Q20_R0019_WEST</t>
  </si>
  <si>
    <t>Q20_R0019_WINSTON</t>
  </si>
  <si>
    <t>Q20_R0019_YETT</t>
  </si>
  <si>
    <t>Q20_R0019_ORIS</t>
  </si>
  <si>
    <t>Q20_R0019_PINE</t>
  </si>
  <si>
    <t>Q20_R0019_EAGLE</t>
  </si>
  <si>
    <t>Q20_R0019_CAPRI</t>
  </si>
  <si>
    <t>Q20_R0019_CAPTAIN</t>
  </si>
  <si>
    <t>Q20_R0019_DK</t>
  </si>
  <si>
    <t>Q20_R0020_555</t>
  </si>
  <si>
    <t>Q20_R0020_BASTION</t>
  </si>
  <si>
    <t>Q20_R0020_BASTOS</t>
  </si>
  <si>
    <t>Q20_R0020_BOSS</t>
  </si>
  <si>
    <t>Q20_R0020_COTAB</t>
  </si>
  <si>
    <t>Q20_R0020_DONATABA</t>
  </si>
  <si>
    <t>Q20_R0020_Dunhill</t>
  </si>
  <si>
    <t>Q20_R0020_ERA</t>
  </si>
  <si>
    <t>Q20_R0020_ESSE</t>
  </si>
  <si>
    <t>Q20_R0020_EVEREST</t>
  </si>
  <si>
    <t>Q20_R0020_FINE</t>
  </si>
  <si>
    <t>Q20_R0020_HERO</t>
  </si>
  <si>
    <t>Q20_R0020_JET</t>
  </si>
  <si>
    <t>Q20_R0020_KENT</t>
  </si>
  <si>
    <t>Q20_R0020_MARLBORO</t>
  </si>
  <si>
    <t>Q20_R0020_MELIA</t>
  </si>
  <si>
    <t>Q20_R0020_PRINCE</t>
  </si>
  <si>
    <t>Q20_R0020_SAIGON</t>
  </si>
  <si>
    <t>Q20_R0020_TOURANCE</t>
  </si>
  <si>
    <t>Q20_R0020_VINATABA</t>
  </si>
  <si>
    <t>Q20_R0020_WARHORSE</t>
  </si>
  <si>
    <t>Q20_R0020_WEST</t>
  </si>
  <si>
    <t>Q20_R0020_WINSTON</t>
  </si>
  <si>
    <t>Q20_R0020_YETT</t>
  </si>
  <si>
    <t>Q20_R0020_ORIS</t>
  </si>
  <si>
    <t>Q20_R0020_PINE</t>
  </si>
  <si>
    <t>Q20_R0020_EAGLE</t>
  </si>
  <si>
    <t>Q20_R0020_CAPRI</t>
  </si>
  <si>
    <t>Q20_R0020_CAPTAIN</t>
  </si>
  <si>
    <t>Q20_R0020_DK</t>
  </si>
  <si>
    <t>Q20_R0021_555</t>
  </si>
  <si>
    <t>Q20_R0021_BASTION</t>
  </si>
  <si>
    <t>Q20_R0021_BASTOS</t>
  </si>
  <si>
    <t>Q20_R0021_BOSS</t>
  </si>
  <si>
    <t>Q20_R0021_COTAB</t>
  </si>
  <si>
    <t>Q20_R0021_DONATABA</t>
  </si>
  <si>
    <t>Q20_R0021_Dunhill</t>
  </si>
  <si>
    <t>Q20_R0021_ERA</t>
  </si>
  <si>
    <t>Q20_R0021_ESSE</t>
  </si>
  <si>
    <t>Q20_R0021_EVEREST</t>
  </si>
  <si>
    <t>Q20_R0021_FINE</t>
  </si>
  <si>
    <t>Q20_R0021_HERO</t>
  </si>
  <si>
    <t>Q20_R0021_JET</t>
  </si>
  <si>
    <t>Q20_R0021_KENT</t>
  </si>
  <si>
    <t>Q20_R0021_MARLBORO</t>
  </si>
  <si>
    <t>Q20_R0021_MELIA</t>
  </si>
  <si>
    <t>Q20_R0021_PRINCE</t>
  </si>
  <si>
    <t>Q20_R0021_SAIGON</t>
  </si>
  <si>
    <t>Q20_R0021_TOURANCE</t>
  </si>
  <si>
    <t>Q20_R0021_VINATABA</t>
  </si>
  <si>
    <t>Q20_R0021_WARHORSE</t>
  </si>
  <si>
    <t>Q20_R0021_WEST</t>
  </si>
  <si>
    <t>Q20_R0021_WINSTON</t>
  </si>
  <si>
    <t>Q20_R0021_YETT</t>
  </si>
  <si>
    <t>Q20_R0021_ORIS</t>
  </si>
  <si>
    <t>Q20_R0021_PINE</t>
  </si>
  <si>
    <t>Q20_R0021_EAGLE</t>
  </si>
  <si>
    <t>Q20_R0021_CAPRI</t>
  </si>
  <si>
    <t>Q20_R0021_CAPTAIN</t>
  </si>
  <si>
    <t>Q20_R0021_DK</t>
  </si>
  <si>
    <t>Q20_R0022_555</t>
  </si>
  <si>
    <t>Q20_R0022_BASTION</t>
  </si>
  <si>
    <t>Q20_R0022_BASTOS</t>
  </si>
  <si>
    <t>Q20_R0022_BOSS</t>
  </si>
  <si>
    <t>Q20_R0022_COTAB</t>
  </si>
  <si>
    <t>Q20_R0022_DONATABA</t>
  </si>
  <si>
    <t>Q20_R0022_Dunhill</t>
  </si>
  <si>
    <t>Q20_R0022_ERA</t>
  </si>
  <si>
    <t>Q20_R0022_ESSE</t>
  </si>
  <si>
    <t>Q20_R0022_EVEREST</t>
  </si>
  <si>
    <t>Q20_R0022_FINE</t>
  </si>
  <si>
    <t>Q20_R0022_HERO</t>
  </si>
  <si>
    <t>Q20_R0022_JET</t>
  </si>
  <si>
    <t>Q20_R0022_KENT</t>
  </si>
  <si>
    <t>Q20_R0022_MARLBORO</t>
  </si>
  <si>
    <t>Q20_R0022_MELIA</t>
  </si>
  <si>
    <t>Q20_R0022_PRINCE</t>
  </si>
  <si>
    <t>Q20_R0022_SAIGON</t>
  </si>
  <si>
    <t>Q20_R0022_TOURANCE</t>
  </si>
  <si>
    <t>Q20_R0022_VINATABA</t>
  </si>
  <si>
    <t>Q20_R0022_WARHORSE</t>
  </si>
  <si>
    <t>Q20_R0022_WEST</t>
  </si>
  <si>
    <t>Q20_R0022_WINSTON</t>
  </si>
  <si>
    <t>Q20_R0022_YETT</t>
  </si>
  <si>
    <t>Q20_R0022_ORIS</t>
  </si>
  <si>
    <t>Q20_R0022_PINE</t>
  </si>
  <si>
    <t>Q20_R0022_EAGLE</t>
  </si>
  <si>
    <t>Q20_R0022_CAPRI</t>
  </si>
  <si>
    <t>Q20_R0022_CAPTAIN</t>
  </si>
  <si>
    <t>Q20_R0022_DK</t>
  </si>
  <si>
    <t>Q20_R0023_555</t>
  </si>
  <si>
    <t>Q20_R0023_BASTION</t>
  </si>
  <si>
    <t>Q20_R0023_BASTOS</t>
  </si>
  <si>
    <t>Q20_R0023_BOSS</t>
  </si>
  <si>
    <t>Q20_R0023_COTAB</t>
  </si>
  <si>
    <t>Q20_R0023_DONATABA</t>
  </si>
  <si>
    <t>Q20_R0023_Dunhill</t>
  </si>
  <si>
    <t>Q20_R0023_ERA</t>
  </si>
  <si>
    <t>Q20_R0023_ESSE</t>
  </si>
  <si>
    <t>Q20_R0023_EVEREST</t>
  </si>
  <si>
    <t>Q20_R0023_FINE</t>
  </si>
  <si>
    <t>Q20_R0023_HERO</t>
  </si>
  <si>
    <t>Q20_R0023_JET</t>
  </si>
  <si>
    <t>Q20_R0023_KENT</t>
  </si>
  <si>
    <t>Q20_R0023_MARLBORO</t>
  </si>
  <si>
    <t>Q20_R0023_MELIA</t>
  </si>
  <si>
    <t>Q20_R0023_PRINCE</t>
  </si>
  <si>
    <t>Q20_R0023_SAIGON</t>
  </si>
  <si>
    <t>Q20_R0023_TOURANCE</t>
  </si>
  <si>
    <t>Q20_R0023_VINATABA</t>
  </si>
  <si>
    <t>Q20_R0023_WARHORSE</t>
  </si>
  <si>
    <t>Q20_R0023_WEST</t>
  </si>
  <si>
    <t>Q20_R0023_WINSTON</t>
  </si>
  <si>
    <t>Q20_R0023_YETT</t>
  </si>
  <si>
    <t>Q20_R0023_ORIS</t>
  </si>
  <si>
    <t>Q20_R0023_PINE</t>
  </si>
  <si>
    <t>Q20_R0023_EAGLE</t>
  </si>
  <si>
    <t>Q20_R0023_CAPRI</t>
  </si>
  <si>
    <t>Q20_R0023_CAPTAIN</t>
  </si>
  <si>
    <t>Q20_R0023_DK</t>
  </si>
  <si>
    <t>Q20_R0024_555</t>
  </si>
  <si>
    <t>Q20_R0024_BASTION</t>
  </si>
  <si>
    <t>Q20_R0024_BASTOS</t>
  </si>
  <si>
    <t>Q20_R0024_BOSS</t>
  </si>
  <si>
    <t>Q20_R0024_COTAB</t>
  </si>
  <si>
    <t>Q20_R0024_DONATABA</t>
  </si>
  <si>
    <t>Q20_R0024_Dunhill</t>
  </si>
  <si>
    <t>Q20_R0024_ERA</t>
  </si>
  <si>
    <t>Q20_R0024_ESSE</t>
  </si>
  <si>
    <t>Q20_R0024_EVEREST</t>
  </si>
  <si>
    <t>Q20_R0024_FINE</t>
  </si>
  <si>
    <t>Q20_R0024_HERO</t>
  </si>
  <si>
    <t>Q20_R0024_JET</t>
  </si>
  <si>
    <t>Q20_R0024_KENT</t>
  </si>
  <si>
    <t>Q20_R0024_MARLBORO</t>
  </si>
  <si>
    <t>Q20_R0024_MELIA</t>
  </si>
  <si>
    <t>Q20_R0024_PRINCE</t>
  </si>
  <si>
    <t>Q20_R0024_SAIGON</t>
  </si>
  <si>
    <t>Q20_R0024_TOURANCE</t>
  </si>
  <si>
    <t>Q20_R0024_VINATABA</t>
  </si>
  <si>
    <t>Q20_R0024_WARHORSE</t>
  </si>
  <si>
    <t>Q20_R0024_WEST</t>
  </si>
  <si>
    <t>Q20_R0024_WINSTON</t>
  </si>
  <si>
    <t>Q20_R0024_YETT</t>
  </si>
  <si>
    <t>Q20_R0024_ORIS</t>
  </si>
  <si>
    <t>Q20_R0024_PINE</t>
  </si>
  <si>
    <t>Q20_R0024_EAGLE</t>
  </si>
  <si>
    <t>Q20_R0024_CAPRI</t>
  </si>
  <si>
    <t>Q20_R0024_CAPTAIN</t>
  </si>
  <si>
    <t>Q20_R0024_DK</t>
  </si>
  <si>
    <t>Q20_R0025_555</t>
  </si>
  <si>
    <t>Q20_R0025_BASTION</t>
  </si>
  <si>
    <t>Q20_R0025_BASTOS</t>
  </si>
  <si>
    <t>Q20_R0025_BOSS</t>
  </si>
  <si>
    <t>Q20_R0025_COTAB</t>
  </si>
  <si>
    <t>Q20_R0025_DONATABA</t>
  </si>
  <si>
    <t>Q20_R0025_Dunhill</t>
  </si>
  <si>
    <t>Q20_R0025_ERA</t>
  </si>
  <si>
    <t>Q20_R0025_ESSE</t>
  </si>
  <si>
    <t>Q20_R0025_EVEREST</t>
  </si>
  <si>
    <t>Q20_R0025_FINE</t>
  </si>
  <si>
    <t>Q20_R0025_HERO</t>
  </si>
  <si>
    <t>Q20_R0025_JET</t>
  </si>
  <si>
    <t>Q20_R0025_KENT</t>
  </si>
  <si>
    <t>Q20_R0025_MARLBORO</t>
  </si>
  <si>
    <t>Q20_R0025_MELIA</t>
  </si>
  <si>
    <t>Q20_R0025_PRINCE</t>
  </si>
  <si>
    <t>Q20_R0025_SAIGON</t>
  </si>
  <si>
    <t>Q20_R0025_TOURANCE</t>
  </si>
  <si>
    <t>Q20_R0025_VINATABA</t>
  </si>
  <si>
    <t>Q20_R0025_WARHORSE</t>
  </si>
  <si>
    <t>Q20_R0025_WEST</t>
  </si>
  <si>
    <t>Q20_R0025_WINSTON</t>
  </si>
  <si>
    <t>Q20_R0025_YETT</t>
  </si>
  <si>
    <t>Q20_R0025_ORIS</t>
  </si>
  <si>
    <t>Q20_R0025_PINE</t>
  </si>
  <si>
    <t>Q20_R0025_EAGLE</t>
  </si>
  <si>
    <t>Q20_R0025_CAPRI</t>
  </si>
  <si>
    <t>Q20_R0025_CAPTAIN</t>
  </si>
  <si>
    <t>Q20_R0025_DK</t>
  </si>
  <si>
    <t>Q20_R0026_555</t>
  </si>
  <si>
    <t>Q20_R0026_BASTION</t>
  </si>
  <si>
    <t>Q20_R0026_BASTOS</t>
  </si>
  <si>
    <t>Q20_R0026_BOSS</t>
  </si>
  <si>
    <t>Q20_R0026_COTAB</t>
  </si>
  <si>
    <t>Q20_R0026_DONATABA</t>
  </si>
  <si>
    <t>Q20_R0026_Dunhill</t>
  </si>
  <si>
    <t>Q20_R0026_ERA</t>
  </si>
  <si>
    <t>Q20_R0026_ESSE</t>
  </si>
  <si>
    <t>Q20_R0026_EVEREST</t>
  </si>
  <si>
    <t>Q20_R0026_FINE</t>
  </si>
  <si>
    <t>Q20_R0026_HERO</t>
  </si>
  <si>
    <t>Q20_R0026_JET</t>
  </si>
  <si>
    <t>Q20_R0026_KENT</t>
  </si>
  <si>
    <t>Q20_R0026_MARLBORO</t>
  </si>
  <si>
    <t>Q20_R0026_MELIA</t>
  </si>
  <si>
    <t>Q20_R0026_PRINCE</t>
  </si>
  <si>
    <t>Q20_R0026_SAIGON</t>
  </si>
  <si>
    <t>Q20_R0026_TOURANCE</t>
  </si>
  <si>
    <t>Q20_R0026_VINATABA</t>
  </si>
  <si>
    <t>Q20_R0026_WARHORSE</t>
  </si>
  <si>
    <t>Q20_R0026_WEST</t>
  </si>
  <si>
    <t>Q20_R0026_WINSTON</t>
  </si>
  <si>
    <t>Q20_R0026_YETT</t>
  </si>
  <si>
    <t>Q20_R0026_ORIS</t>
  </si>
  <si>
    <t>Q20_R0026_PINE</t>
  </si>
  <si>
    <t>Q20_R0026_EAGLE</t>
  </si>
  <si>
    <t>Q20_R0026_CAPRI</t>
  </si>
  <si>
    <t>Q20_R0026_CAPTAIN</t>
  </si>
  <si>
    <t>Q20_R0026_DK</t>
  </si>
  <si>
    <t>Q20_R0027_555</t>
  </si>
  <si>
    <t>Q20_R0027_BASTION</t>
  </si>
  <si>
    <t>Q20_R0027_BASTOS</t>
  </si>
  <si>
    <t>Q20_R0027_BOSS</t>
  </si>
  <si>
    <t>Q20_R0027_COTAB</t>
  </si>
  <si>
    <t>Q20_R0027_DONATABA</t>
  </si>
  <si>
    <t>Q20_R0027_Dunhill</t>
  </si>
  <si>
    <t>Q20_R0027_ERA</t>
  </si>
  <si>
    <t>Q20_R0027_ESSE</t>
  </si>
  <si>
    <t>Q20_R0027_EVEREST</t>
  </si>
  <si>
    <t>Q20_R0027_FINE</t>
  </si>
  <si>
    <t>Q20_R0027_HERO</t>
  </si>
  <si>
    <t>Q20_R0027_JET</t>
  </si>
  <si>
    <t>Q20_R0027_KENT</t>
  </si>
  <si>
    <t>Q20_R0027_MARLBORO</t>
  </si>
  <si>
    <t>Q20_R0027_MELIA</t>
  </si>
  <si>
    <t>Q20_R0027_PRINCE</t>
  </si>
  <si>
    <t>Q20_R0027_SAIGON</t>
  </si>
  <si>
    <t>Q20_R0027_TOURANCE</t>
  </si>
  <si>
    <t>Q20_R0027_VINATABA</t>
  </si>
  <si>
    <t>Q20_R0027_WARHORSE</t>
  </si>
  <si>
    <t>Q20_R0027_WEST</t>
  </si>
  <si>
    <t>Q20_R0027_WINSTON</t>
  </si>
  <si>
    <t>Q20_R0027_YETT</t>
  </si>
  <si>
    <t>Q20_R0027_ORIS</t>
  </si>
  <si>
    <t>Q20_R0027_PINE</t>
  </si>
  <si>
    <t>Q20_R0027_EAGLE</t>
  </si>
  <si>
    <t>Q20_R0027_CAPRI</t>
  </si>
  <si>
    <t>Q20_R0027_CAPTAIN</t>
  </si>
  <si>
    <t>Q20_R0027_DK</t>
  </si>
  <si>
    <t>Q20_R0028_555</t>
  </si>
  <si>
    <t>Q20_R0028_BASTION</t>
  </si>
  <si>
    <t>Q20_R0028_BASTOS</t>
  </si>
  <si>
    <t>Q20_R0028_BOSS</t>
  </si>
  <si>
    <t>Q20_R0028_COTAB</t>
  </si>
  <si>
    <t>Q20_R0028_DONATABA</t>
  </si>
  <si>
    <t>Q20_R0028_Dunhill</t>
  </si>
  <si>
    <t>Q20_R0028_ERA</t>
  </si>
  <si>
    <t>Q20_R0028_ESSE</t>
  </si>
  <si>
    <t>Q20_R0028_EVEREST</t>
  </si>
  <si>
    <t>Q20_R0028_FINE</t>
  </si>
  <si>
    <t>Q20_R0028_HERO</t>
  </si>
  <si>
    <t>Q20_R0028_JET</t>
  </si>
  <si>
    <t>Q20_R0028_KENT</t>
  </si>
  <si>
    <t>Q20_R0028_MARLBORO</t>
  </si>
  <si>
    <t>Q20_R0028_MELIA</t>
  </si>
  <si>
    <t>Q20_R0028_PRINCE</t>
  </si>
  <si>
    <t>Q20_R0028_SAIGON</t>
  </si>
  <si>
    <t>Q20_R0028_TOURANCE</t>
  </si>
  <si>
    <t>Q20_R0028_VINATABA</t>
  </si>
  <si>
    <t>Q20_R0028_WARHORSE</t>
  </si>
  <si>
    <t>Q20_R0028_WEST</t>
  </si>
  <si>
    <t>Q20_R0028_WINSTON</t>
  </si>
  <si>
    <t>Q20_R0028_YETT</t>
  </si>
  <si>
    <t>Q20_R0028_ORIS</t>
  </si>
  <si>
    <t>Q20_R0028_PINE</t>
  </si>
  <si>
    <t>Q20_R0028_EAGLE</t>
  </si>
  <si>
    <t>Q20_R0028_CAPRI</t>
  </si>
  <si>
    <t>Q20_R0028_CAPTAIN</t>
  </si>
  <si>
    <t>Q20_R0028_DK</t>
  </si>
  <si>
    <t>Khu_vuc</t>
  </si>
  <si>
    <t>Mau</t>
  </si>
  <si>
    <t>TLKT</t>
  </si>
  <si>
    <t>Quota</t>
  </si>
  <si>
    <t>Brand</t>
  </si>
  <si>
    <t>Methology</t>
  </si>
  <si>
    <t>Nhom</t>
  </si>
  <si>
    <t>S4</t>
  </si>
  <si>
    <t>S5</t>
  </si>
  <si>
    <t>S6</t>
  </si>
  <si>
    <t>S11a</t>
  </si>
  <si>
    <t>S11b</t>
  </si>
  <si>
    <t>S11c</t>
  </si>
  <si>
    <t>S12</t>
  </si>
  <si>
    <t>S15</t>
  </si>
  <si>
    <t>Q1b_555</t>
  </si>
  <si>
    <t>Q1b_BASTION</t>
  </si>
  <si>
    <t>Q1b_BASTOS</t>
  </si>
  <si>
    <t>Q1b_BOSS</t>
  </si>
  <si>
    <t>Q1b_COTAB</t>
  </si>
  <si>
    <t>Q1b_DONATABA</t>
  </si>
  <si>
    <t>Q1b_Dunhill</t>
  </si>
  <si>
    <t>Q1b_ERA</t>
  </si>
  <si>
    <t>Q1b_ESSE</t>
  </si>
  <si>
    <t>Q1b_EVEREST</t>
  </si>
  <si>
    <t>Q1b_FINE</t>
  </si>
  <si>
    <t>Q1b_HERO</t>
  </si>
  <si>
    <t>Q1b_JET</t>
  </si>
  <si>
    <t>Q1b_KENT</t>
  </si>
  <si>
    <t>Q1b_MARLBORO</t>
  </si>
  <si>
    <t>Q1b_MELIA</t>
  </si>
  <si>
    <t>Q1b_PRINCE</t>
  </si>
  <si>
    <t>Q1b_SAIGON</t>
  </si>
  <si>
    <t>Q1b_TOURANCE</t>
  </si>
  <si>
    <t>Q1b_VINATABA</t>
  </si>
  <si>
    <t>Q1b_WARHORSE</t>
  </si>
  <si>
    <t>Q1b_WEST</t>
  </si>
  <si>
    <t>Q1b_WINSTON</t>
  </si>
  <si>
    <t>Q1b_YETT</t>
  </si>
  <si>
    <t>Q1b_ORIS</t>
  </si>
  <si>
    <t>Q1b_PINE</t>
  </si>
  <si>
    <t>Q1b_EAGLE</t>
  </si>
  <si>
    <t>Q1b_CAPRI</t>
  </si>
  <si>
    <t>Q1b_CAPTAIN</t>
  </si>
  <si>
    <t>Q1b_DK</t>
  </si>
  <si>
    <t>Q17a____7</t>
  </si>
  <si>
    <t>Q17a____8</t>
  </si>
  <si>
    <t>Q8a___19</t>
  </si>
  <si>
    <t>Q8a___20</t>
  </si>
  <si>
    <t>Q8a___21</t>
  </si>
  <si>
    <t>Q8a___22</t>
  </si>
  <si>
    <t>Q8a___23</t>
  </si>
  <si>
    <t>Q8a___24</t>
  </si>
  <si>
    <t>Q8a___25</t>
  </si>
  <si>
    <t>Q8a___26</t>
  </si>
  <si>
    <t>Q8a___27</t>
  </si>
  <si>
    <t>Q8b___19</t>
  </si>
  <si>
    <t>Q8b___20</t>
  </si>
  <si>
    <t>Q8b___21</t>
  </si>
  <si>
    <t>Q8b___22</t>
  </si>
  <si>
    <t>Q8b___23</t>
  </si>
  <si>
    <t>Q8b___24</t>
  </si>
  <si>
    <t>Q8b___25</t>
  </si>
  <si>
    <t>Q8b___26</t>
  </si>
  <si>
    <t>Q8b___27</t>
  </si>
  <si>
    <t>Q1b_BASTOS_DO</t>
  </si>
  <si>
    <t>Q1b_BASTOS_XANH</t>
  </si>
  <si>
    <t>Q1b_CON_MEO</t>
  </si>
  <si>
    <t>Q1b_CON_MEO_DEN</t>
  </si>
  <si>
    <t>Q1b_CON_MEO_BAC_HA</t>
  </si>
  <si>
    <t>Q1b_DIEN_BIEN</t>
  </si>
  <si>
    <t>Q1b_Du_lich</t>
  </si>
  <si>
    <t>Q1b_HOA_BINH</t>
  </si>
  <si>
    <t>Q1b_KHANH_HOI</t>
  </si>
  <si>
    <t>Q1b_MARLBORO_LIGHT</t>
  </si>
  <si>
    <t>Q1b_MARLBORO_BAC_HA</t>
  </si>
  <si>
    <t>Q1b_MILD_7</t>
  </si>
  <si>
    <t>Q1b_MILD_7_LIGHT</t>
  </si>
  <si>
    <t>Q1b_NHA_TRANG</t>
  </si>
  <si>
    <t>Q1b_SEVEN_DIAMOND</t>
  </si>
  <si>
    <t>Q1b_THANG_LONG</t>
  </si>
  <si>
    <t>Q1b_TRI_AN</t>
  </si>
  <si>
    <t>Q1b_WEST_DO</t>
  </si>
  <si>
    <t>Q1b_WEST_XANH</t>
  </si>
  <si>
    <t>Q1b_WHITE_HORSE</t>
  </si>
  <si>
    <t>Q1b_WINSTON_DO</t>
  </si>
  <si>
    <t>Q1b_WINSTON_XANH</t>
  </si>
  <si>
    <t>Q1b_ESSE_GOLD</t>
  </si>
  <si>
    <t>Q1b_DA_LAT</t>
  </si>
  <si>
    <t>Q1b_MARLBORO_GOLD</t>
  </si>
  <si>
    <t>Q1b_555_MAU_XANH</t>
  </si>
  <si>
    <t>Q1b_JUNE_SLIM</t>
  </si>
  <si>
    <t>Q1b_ESSE_SPECIAL_GOLD</t>
  </si>
  <si>
    <t>Q1c_BASTOS_DO</t>
  </si>
  <si>
    <t>Q1c_BASTOS_XANH</t>
  </si>
  <si>
    <t>Q1c_CON_MEO</t>
  </si>
  <si>
    <t>Q1c_CON_MEO_DEN</t>
  </si>
  <si>
    <t>Q1c_CON_MEO_BAC_HA</t>
  </si>
  <si>
    <t>Q1c_DIEN_BIEN</t>
  </si>
  <si>
    <t>Q1c_Du_lich</t>
  </si>
  <si>
    <t>Q1c_HOA_BINH</t>
  </si>
  <si>
    <t>Q1c_KHANH_HOI</t>
  </si>
  <si>
    <t>Q1c_MARLBORO_LIGHT</t>
  </si>
  <si>
    <t>Q1c_MARLBORO_BAC_HA</t>
  </si>
  <si>
    <t>Q1c_MILD_7</t>
  </si>
  <si>
    <t>Q1c_MILD_7_LIGHT</t>
  </si>
  <si>
    <t>Q1c_NHA_TRANG</t>
  </si>
  <si>
    <t>Q1c_SEVEN_DIAMOND</t>
  </si>
  <si>
    <t>Q1c_THANG_LONG</t>
  </si>
  <si>
    <t>Q1c_TRI_AN</t>
  </si>
  <si>
    <t>Q1c_WEST_DO</t>
  </si>
  <si>
    <t>Q1c_WEST_XANH</t>
  </si>
  <si>
    <t>Q1c_WHITE_HORSE</t>
  </si>
  <si>
    <t>Q1c_WINSTON_DO</t>
  </si>
  <si>
    <t>Q1c_WINSTON_XANH</t>
  </si>
  <si>
    <t>Q1c_ESSE_GOLD</t>
  </si>
  <si>
    <t>Q1c_DA_LAT</t>
  </si>
  <si>
    <t>Q1c_MARLBORO_GOLD</t>
  </si>
  <si>
    <t>Q1c_555_MAU_XANH</t>
  </si>
  <si>
    <t>Q1c_JUNE_SLIM</t>
  </si>
  <si>
    <t>Q1c_ESSE_SPECIAL_GOLD</t>
  </si>
  <si>
    <t>Q2a_BASTOS_DO</t>
  </si>
  <si>
    <t>Q2a_BASTOS_XANH</t>
  </si>
  <si>
    <t>Q2a_CON_MEO</t>
  </si>
  <si>
    <t>Q2a_CON_MEO_DEN</t>
  </si>
  <si>
    <t>Q2a_CON_MEO_BAC_HA</t>
  </si>
  <si>
    <t>Q2a_DIEN_BIEN</t>
  </si>
  <si>
    <t>Q2a_Du_lich</t>
  </si>
  <si>
    <t>Q2a_HOA_BINH</t>
  </si>
  <si>
    <t>Q2a_KHANH_HOI</t>
  </si>
  <si>
    <t>Q2a_MARLBORO_LIGHT</t>
  </si>
  <si>
    <t>Q2a_MARLBORO_BAC_HA</t>
  </si>
  <si>
    <t>Q2a_MILD_7</t>
  </si>
  <si>
    <t>Q2a_MILD_7_LIGHT</t>
  </si>
  <si>
    <t>Q2a_NHA_TRANG</t>
  </si>
  <si>
    <t>Q2a_SEVEN_DIAMOND</t>
  </si>
  <si>
    <t>Q2a_THANG_LONG</t>
  </si>
  <si>
    <t>Q2a_TRI_AN</t>
  </si>
  <si>
    <t>Q2a_WEST_DO</t>
  </si>
  <si>
    <t>Q2a_WEST_XANH</t>
  </si>
  <si>
    <t>Q2a_WHITE_HORSE</t>
  </si>
  <si>
    <t>Q2a_WINSTON_DO</t>
  </si>
  <si>
    <t>Q2a_WINSTON_XANH</t>
  </si>
  <si>
    <t>Q2a_ESSE_GOLD</t>
  </si>
  <si>
    <t>Q2a_DA_LAT</t>
  </si>
  <si>
    <t>Q2a_MARLBORO_GOLD</t>
  </si>
  <si>
    <t>Q2a_555_MAU_XANH</t>
  </si>
  <si>
    <t>Q2a_JUNE_SLIM</t>
  </si>
  <si>
    <t>Q2a_ESSE_SPECIAL_GOLD</t>
  </si>
  <si>
    <t>Q2d_BASTOS_DO</t>
  </si>
  <si>
    <t>Q2d_BASTOS_XANH</t>
  </si>
  <si>
    <t>Q2d_CON_MEO</t>
  </si>
  <si>
    <t>Q2d_CON_MEO_DEN</t>
  </si>
  <si>
    <t>Q2d_CON_MEO_BAC_HA</t>
  </si>
  <si>
    <t>Q2d_DIEN_BIEN</t>
  </si>
  <si>
    <t>Q2d_Du_lich</t>
  </si>
  <si>
    <t>Q2d_HOA_BINH</t>
  </si>
  <si>
    <t>Q2d_KHANH_HOI</t>
  </si>
  <si>
    <t>Q2d_MARLBORO_LIGHT</t>
  </si>
  <si>
    <t>Q2d_MARLBORO_BAC_HA</t>
  </si>
  <si>
    <t>Q2d_MILD_7</t>
  </si>
  <si>
    <t>Q2d_MILD_7_LIGHT</t>
  </si>
  <si>
    <t>Q2d_NHA_TRANG</t>
  </si>
  <si>
    <t>Q2d_SEVEN_DIAMOND</t>
  </si>
  <si>
    <t>Q2d_THANG_LONG</t>
  </si>
  <si>
    <t>Q2d_TRI_AN</t>
  </si>
  <si>
    <t>Q2d_WEST_DO</t>
  </si>
  <si>
    <t>Q2d_WEST_XANH</t>
  </si>
  <si>
    <t>Q2d_WHITE_HORSE</t>
  </si>
  <si>
    <t>Q2d_WINSTON_DO</t>
  </si>
  <si>
    <t>Q2d_WINSTON_XANH</t>
  </si>
  <si>
    <t>Q2d_ESSE_GOLD</t>
  </si>
  <si>
    <t>Q2d_DA_LAT</t>
  </si>
  <si>
    <t>Q2d_MARLBORO_GOLD</t>
  </si>
  <si>
    <t>Q2d_555_MAU_XANH</t>
  </si>
  <si>
    <t>Q2d_JUNE_SLIM</t>
  </si>
  <si>
    <t>Q2d_ESSE_SPECIAL_GOLD</t>
  </si>
  <si>
    <t>Q8a_Muon_hut_loai_thuoc_nhe_hon</t>
  </si>
  <si>
    <t>Q8a_Mui_vi_ngon_hon</t>
  </si>
  <si>
    <t>Q8a_San_pham_moi</t>
  </si>
  <si>
    <t>Q8a_Muon_hut_nhan_hieu_mac_hon</t>
  </si>
  <si>
    <t>Q8a_De_dang_mua_nhan_hieu_do_hon</t>
  </si>
  <si>
    <t>Q8b_Muon_hut_loai_thuoc_nhe_hon</t>
  </si>
  <si>
    <t>Q8b_Mui_vi_ngon_hon</t>
  </si>
  <si>
    <t>Q8b_San_pham_moi</t>
  </si>
  <si>
    <t>Q8b_Muon_hut_nhan_hieu_mac_hon</t>
  </si>
  <si>
    <t>Q8b_De_dang_mua_nhan_hieu_do_hon</t>
  </si>
  <si>
    <t>Q13a_Nhan_hieu_hien_dai</t>
  </si>
  <si>
    <t>Q13a_Nhan_hieu_cao_cap</t>
  </si>
  <si>
    <t>Q13a_Nhan_hieu_nhap_khau</t>
  </si>
  <si>
    <t>Q13a_Nhan_hieu_pho_bien</t>
  </si>
  <si>
    <t>Q13a_Nhan_hieu_nam_tinh</t>
  </si>
  <si>
    <t>Q13a_Danh_cho_gioi_tre</t>
  </si>
  <si>
    <t>Q13a_Danh_cho_gioi_binh_dan</t>
  </si>
  <si>
    <t>Q13a_Mui_vi_thom_ngon</t>
  </si>
  <si>
    <t>Q13a_Thuoc_co_huong_vi_nang</t>
  </si>
  <si>
    <t>Q13a_Thuoc_co_huong_vi_nhe</t>
  </si>
  <si>
    <t>Q13a_Thuoc_khong_bi_gat</t>
  </si>
  <si>
    <t>Q13a_Khong_bi_dom</t>
  </si>
  <si>
    <t>Q13a_Hau_vi_ngon</t>
  </si>
  <si>
    <t>Q13a_Co_the_chia_se_cung_ban_be</t>
  </si>
  <si>
    <t>Q13a_Bao_bi_sanh_dieu</t>
  </si>
  <si>
    <t>Q13a_Dang_gia_dong_tien</t>
  </si>
  <si>
    <t>Q16a_Nhung_khu_vuc_an_uong_chinh</t>
  </si>
  <si>
    <t>Q16a_Nguoi_ban_dao</t>
  </si>
  <si>
    <t>Q16a_Cua_hang_tap_hoa</t>
  </si>
  <si>
    <t>Q16a_Xe_thuoc_la</t>
  </si>
  <si>
    <t>Q16a_Cua_hang_tien_loi</t>
  </si>
  <si>
    <t>Q16a_Dai_ly</t>
  </si>
  <si>
    <t>Q16a_Cho_thuoc</t>
  </si>
  <si>
    <t>Q17a_Tu_nguoi_ban</t>
  </si>
  <si>
    <t>Q18a_Tang_viet</t>
  </si>
  <si>
    <t>Q18a_Tang_hop_quet</t>
  </si>
  <si>
    <t>Q18a_Tang_do_khui_bia</t>
  </si>
  <si>
    <t>Q18a_Tang_moc_chia_khoa</t>
  </si>
  <si>
    <t>Q18a_Tang_gat_tan_thuoc</t>
  </si>
  <si>
    <t>Q18a_Mua_2_goi_tang_1_goi</t>
  </si>
  <si>
    <t>Q18a_Giam_gia_san_pham</t>
  </si>
  <si>
    <t>Q19_BASTOS_DO</t>
  </si>
  <si>
    <t>Q19_BASTOS_XANH</t>
  </si>
  <si>
    <t>Q19_CON_MEO</t>
  </si>
  <si>
    <t>Q19_CON_MEO_DEN</t>
  </si>
  <si>
    <t>Q19_CON_MEO_BAC_HA</t>
  </si>
  <si>
    <t>Q19_DIEN_BIEN</t>
  </si>
  <si>
    <t>Q19_Du_lich</t>
  </si>
  <si>
    <t>Q19_HOA_BINH</t>
  </si>
  <si>
    <t>Q19_KHANH_HOI</t>
  </si>
  <si>
    <t>Q19_MARLBORO_LIGHT</t>
  </si>
  <si>
    <t>Q19_MARLBORO_BAC_HA</t>
  </si>
  <si>
    <t>Q19_MILD_7</t>
  </si>
  <si>
    <t>Q19_MILD_7_LIGHT</t>
  </si>
  <si>
    <t>Q19_NHA_TRANG</t>
  </si>
  <si>
    <t>Q19_SEVEN_DIAMOND</t>
  </si>
  <si>
    <t>Q19_THANG_LONG</t>
  </si>
  <si>
    <t>Q19_TRI_AN</t>
  </si>
  <si>
    <t>Q19_WEST_DO</t>
  </si>
  <si>
    <t>Q19_WEST_XANH</t>
  </si>
  <si>
    <t>Q19_WHITE_HORSE</t>
  </si>
  <si>
    <t>Q19_WINSTON_DO</t>
  </si>
  <si>
    <t>Q19_WINSTON_XANH</t>
  </si>
  <si>
    <t>Q19_ESSE_GOLD</t>
  </si>
  <si>
    <t>Q19_DA_LAT</t>
  </si>
  <si>
    <t>Q19_MARLBORO_GOLD</t>
  </si>
  <si>
    <t>Q19_555_MAU_XANH</t>
  </si>
  <si>
    <t>Q19_JUNE_SLIM</t>
  </si>
  <si>
    <t>Q19_ESSE_SPECIAL_GOLD</t>
  </si>
  <si>
    <t>Q20_R0001_BASTOS_DO</t>
  </si>
  <si>
    <t>Q20_R0001_BASTOS_XANH</t>
  </si>
  <si>
    <t>Q20_R0001_CON_MEO</t>
  </si>
  <si>
    <t>Q20_R0001_CON_MEO_DEN</t>
  </si>
  <si>
    <t>Q20_R0001_CON_MEO_BAC_HA</t>
  </si>
  <si>
    <t>Q20_R0001_DIEN_BIEN</t>
  </si>
  <si>
    <t>Q20_R0001_Du_lich</t>
  </si>
  <si>
    <t>Q20_R0001_HOA_BINH</t>
  </si>
  <si>
    <t>Q20_R0001_KHANH_HOI</t>
  </si>
  <si>
    <t>Q20_R0001_MARLBORO_LIGHT</t>
  </si>
  <si>
    <t>Q20_R0001_MARLBORO_BAC_HA</t>
  </si>
  <si>
    <t>Q20_R0001_MILD_7</t>
  </si>
  <si>
    <t>Q20_R0001_MILD_7_LIGHT</t>
  </si>
  <si>
    <t>Q20_R0001_NHA_TRANG</t>
  </si>
  <si>
    <t>Q20_R0001_SEVEN_DIAMOND</t>
  </si>
  <si>
    <t>Q20_R0001_THANG_LONG</t>
  </si>
  <si>
    <t>Q20_R0001_TRI_AN</t>
  </si>
  <si>
    <t>Q20_R0001_WEST_DO</t>
  </si>
  <si>
    <t>Q20_R0001_WEST_XANH</t>
  </si>
  <si>
    <t>Q20_R0001_WHITE_HORSE</t>
  </si>
  <si>
    <t>Q20_R0001_WINSTON_DO</t>
  </si>
  <si>
    <t>Q20_R0001_WINSTON_XANH</t>
  </si>
  <si>
    <t>Q20_R0001_ESSE_GOLD</t>
  </si>
  <si>
    <t>Q20_R0001_DA_LAT</t>
  </si>
  <si>
    <t>Q20_R0001_MARLBORO_GOLD</t>
  </si>
  <si>
    <t>Q20_R0001_555_MAU_XANH</t>
  </si>
  <si>
    <t>Q20_R0001_JUNE_SLIM</t>
  </si>
  <si>
    <t>Q20_R0001_ESSE_SPECIAL_GOLD</t>
  </si>
  <si>
    <t>Q20_R0002_BASTOS_DO</t>
  </si>
  <si>
    <t>Q20_R0002_BASTOS_XANH</t>
  </si>
  <si>
    <t>Q20_R0002_CON_MEO</t>
  </si>
  <si>
    <t>Q20_R0002_CON_MEO_DEN</t>
  </si>
  <si>
    <t>Q20_R0002_CON_MEO_BAC_HA</t>
  </si>
  <si>
    <t>Q20_R0002_DIEN_BIEN</t>
  </si>
  <si>
    <t>Q20_R0002_Du_lich</t>
  </si>
  <si>
    <t>Q20_R0002_HOA_BINH</t>
  </si>
  <si>
    <t>Q20_R0002_KHANH_HOI</t>
  </si>
  <si>
    <t>Q20_R0002_MARLBORO_LIGHT</t>
  </si>
  <si>
    <t>Q20_R0002_MARLBORO_BAC_HA</t>
  </si>
  <si>
    <t>Q20_R0002_MILD_7</t>
  </si>
  <si>
    <t>Q20_R0002_MILD_7_LIGHT</t>
  </si>
  <si>
    <t>Q20_R0002_NHA_TRANG</t>
  </si>
  <si>
    <t>Q20_R0002_SEVEN_DIAMOND</t>
  </si>
  <si>
    <t>Q20_R0002_THANG_LONG</t>
  </si>
  <si>
    <t>Q20_R0002_TRI_AN</t>
  </si>
  <si>
    <t>Q20_R0002_WEST_DO</t>
  </si>
  <si>
    <t>Q20_R0002_WEST_XANH</t>
  </si>
  <si>
    <t>Q20_R0002_WHITE_HORSE</t>
  </si>
  <si>
    <t>Q20_R0002_WINSTON_DO</t>
  </si>
  <si>
    <t>Q20_R0002_WINSTON_XANH</t>
  </si>
  <si>
    <t>Q20_R0002_ESSE_GOLD</t>
  </si>
  <si>
    <t>Q20_R0002_DA_LAT</t>
  </si>
  <si>
    <t>Q20_R0002_MARLBORO_GOLD</t>
  </si>
  <si>
    <t>Q20_R0002_555_MAU_XANH</t>
  </si>
  <si>
    <t>Q20_R0002_JUNE_SLIM</t>
  </si>
  <si>
    <t>Q20_R0002_ESSE_SPECIAL_GOLD</t>
  </si>
  <si>
    <t>Q20_R0003_BASTOS_DO</t>
  </si>
  <si>
    <t>Q20_R0003_BASTOS_XANH</t>
  </si>
  <si>
    <t>Q20_R0003_CON_MEO</t>
  </si>
  <si>
    <t>Q20_R0003_CON_MEO_DEN</t>
  </si>
  <si>
    <t>Q20_R0003_CON_MEO_BAC_HA</t>
  </si>
  <si>
    <t>Q20_R0003_DIEN_BIEN</t>
  </si>
  <si>
    <t>Q20_R0003_Du_lich</t>
  </si>
  <si>
    <t>Q20_R0003_HOA_BINH</t>
  </si>
  <si>
    <t>Q20_R0003_KHANH_HOI</t>
  </si>
  <si>
    <t>Q20_R0003_MARLBORO_LIGHT</t>
  </si>
  <si>
    <t>Q20_R0003_MARLBORO_BAC_HA</t>
  </si>
  <si>
    <t>Q20_R0003_MILD_7</t>
  </si>
  <si>
    <t>Q20_R0003_MILD_7_LIGHT</t>
  </si>
  <si>
    <t>Q20_R0003_NHA_TRANG</t>
  </si>
  <si>
    <t>Q20_R0003_SEVEN_DIAMOND</t>
  </si>
  <si>
    <t>Q20_R0003_THANG_LONG</t>
  </si>
  <si>
    <t>Q20_R0003_TRI_AN</t>
  </si>
  <si>
    <t>Q20_R0003_WEST_DO</t>
  </si>
  <si>
    <t>Q20_R0003_WEST_XANH</t>
  </si>
  <si>
    <t>Q20_R0003_WHITE_HORSE</t>
  </si>
  <si>
    <t>Q20_R0003_WINSTON_DO</t>
  </si>
  <si>
    <t>Q20_R0003_WINSTON_XANH</t>
  </si>
  <si>
    <t>Q20_R0003_ESSE_GOLD</t>
  </si>
  <si>
    <t>Q20_R0003_DA_LAT</t>
  </si>
  <si>
    <t>Q20_R0003_MARLBORO_GOLD</t>
  </si>
  <si>
    <t>Q20_R0003_555_MAU_XANH</t>
  </si>
  <si>
    <t>Q20_R0003_JUNE_SLIM</t>
  </si>
  <si>
    <t>Q20_R0003_ESSE_SPECIAL_GOLD</t>
  </si>
  <si>
    <t>Q20_R0004_BASTOS_DO</t>
  </si>
  <si>
    <t>Q20_R0004_BASTOS_XANH</t>
  </si>
  <si>
    <t>Q20_R0004_CON_MEO</t>
  </si>
  <si>
    <t>Q20_R0004_CON_MEO_DEN</t>
  </si>
  <si>
    <t>Q20_R0004_CON_MEO_BAC_HA</t>
  </si>
  <si>
    <t>Q20_R0004_DIEN_BIEN</t>
  </si>
  <si>
    <t>Q20_R0004_Du_lich</t>
  </si>
  <si>
    <t>Q20_R0004_HOA_BINH</t>
  </si>
  <si>
    <t>Q20_R0004_KHANH_HOI</t>
  </si>
  <si>
    <t>Q20_R0004_MARLBORO_LIGHT</t>
  </si>
  <si>
    <t>Q20_R0004_MARLBORO_BAC_HA</t>
  </si>
  <si>
    <t>Q20_R0004_MILD_7</t>
  </si>
  <si>
    <t>Q20_R0004_MILD_7_LIGHT</t>
  </si>
  <si>
    <t>Q20_R0004_NHA_TRANG</t>
  </si>
  <si>
    <t>Q20_R0004_SEVEN_DIAMOND</t>
  </si>
  <si>
    <t>Q20_R0004_THANG_LONG</t>
  </si>
  <si>
    <t>Q20_R0004_TRI_AN</t>
  </si>
  <si>
    <t>Q20_R0004_WEST_DO</t>
  </si>
  <si>
    <t>Q20_R0004_WEST_XANH</t>
  </si>
  <si>
    <t>Q20_R0004_WHITE_HORSE</t>
  </si>
  <si>
    <t>Q20_R0004_WINSTON_DO</t>
  </si>
  <si>
    <t>Q20_R0004_WINSTON_XANH</t>
  </si>
  <si>
    <t>Q20_R0004_ESSE_GOLD</t>
  </si>
  <si>
    <t>Q20_R0004_DA_LAT</t>
  </si>
  <si>
    <t>Q20_R0004_MARLBORO_GOLD</t>
  </si>
  <si>
    <t>Q20_R0004_555_MAU_XANH</t>
  </si>
  <si>
    <t>Q20_R0004_JUNE_SLIM</t>
  </si>
  <si>
    <t>Q20_R0004_ESSE_SPECIAL_GOLD</t>
  </si>
  <si>
    <t>Q20_R0005_BASTOS_DO</t>
  </si>
  <si>
    <t>Q20_R0005_BASTOS_XANH</t>
  </si>
  <si>
    <t>Q20_R0005_CON_MEO</t>
  </si>
  <si>
    <t>Q20_R0005_CON_MEO_DEN</t>
  </si>
  <si>
    <t>Q20_R0005_CON_MEO_BAC_HA</t>
  </si>
  <si>
    <t>Q20_R0005_DIEN_BIEN</t>
  </si>
  <si>
    <t>Q20_R0005_Du_lich</t>
  </si>
  <si>
    <t>Q20_R0005_HOA_BINH</t>
  </si>
  <si>
    <t>Q20_R0005_KHANH_HOI</t>
  </si>
  <si>
    <t>Q20_R0005_MARLBORO_LIGHT</t>
  </si>
  <si>
    <t>Q20_R0005_MARLBORO_BAC_HA</t>
  </si>
  <si>
    <t>Q20_R0005_MILD_7</t>
  </si>
  <si>
    <t>Q20_R0005_MILD_7_LIGHT</t>
  </si>
  <si>
    <t>Q20_R0005_NHA_TRANG</t>
  </si>
  <si>
    <t>Q20_R0005_SEVEN_DIAMOND</t>
  </si>
  <si>
    <t>Q20_R0005_THANG_LONG</t>
  </si>
  <si>
    <t>Q20_R0005_TRI_AN</t>
  </si>
  <si>
    <t>Q20_R0005_WEST_DO</t>
  </si>
  <si>
    <t>Q20_R0005_WEST_XANH</t>
  </si>
  <si>
    <t>Q20_R0005_WHITE_HORSE</t>
  </si>
  <si>
    <t>Q20_R0005_WINSTON_DO</t>
  </si>
  <si>
    <t>Q20_R0005_WINSTON_XANH</t>
  </si>
  <si>
    <t>Q20_R0005_ESSE_GOLD</t>
  </si>
  <si>
    <t>Q20_R0005_DA_LAT</t>
  </si>
  <si>
    <t>Q20_R0005_MARLBORO_GOLD</t>
  </si>
  <si>
    <t>Q20_R0005_555_MAU_XANH</t>
  </si>
  <si>
    <t>Q20_R0005_JUNE_SLIM</t>
  </si>
  <si>
    <t>Q20_R0005_ESSE_SPECIAL_GOLD</t>
  </si>
  <si>
    <t>Q20_R0006_BASTOS_DO</t>
  </si>
  <si>
    <t>Q20_R0006_BASTOS_XANH</t>
  </si>
  <si>
    <t>Q20_R0006_CON_MEO</t>
  </si>
  <si>
    <t>Q20_R0006_CON_MEO_DEN</t>
  </si>
  <si>
    <t>Q20_R0006_CON_MEO_BAC_HA</t>
  </si>
  <si>
    <t>Q20_R0006_DIEN_BIEN</t>
  </si>
  <si>
    <t>Q20_R0006_Du_lich</t>
  </si>
  <si>
    <t>Q20_R0006_HOA_BINH</t>
  </si>
  <si>
    <t>Q20_R0006_KHANH_HOI</t>
  </si>
  <si>
    <t>Q20_R0006_MARLBORO_LIGHT</t>
  </si>
  <si>
    <t>Q20_R0006_MARLBORO_BAC_HA</t>
  </si>
  <si>
    <t>Q20_R0006_MILD_7</t>
  </si>
  <si>
    <t>Q20_R0006_MILD_7_LIGHT</t>
  </si>
  <si>
    <t>Q20_R0006_NHA_TRANG</t>
  </si>
  <si>
    <t>Q20_R0006_SEVEN_DIAMOND</t>
  </si>
  <si>
    <t>Q20_R0006_THANG_LONG</t>
  </si>
  <si>
    <t>Q20_R0006_TRI_AN</t>
  </si>
  <si>
    <t>Q20_R0006_WEST_DO</t>
  </si>
  <si>
    <t>Q20_R0006_WEST_XANH</t>
  </si>
  <si>
    <t>Q20_R0006_WHITE_HORSE</t>
  </si>
  <si>
    <t>Q20_R0006_WINSTON_DO</t>
  </si>
  <si>
    <t>Q20_R0006_WINSTON_XANH</t>
  </si>
  <si>
    <t>Q20_R0006_ESSE_GOLD</t>
  </si>
  <si>
    <t>Q20_R0006_DA_LAT</t>
  </si>
  <si>
    <t>Q20_R0006_MARLBORO_GOLD</t>
  </si>
  <si>
    <t>Q20_R0006_555_MAU_XANH</t>
  </si>
  <si>
    <t>Q20_R0006_JUNE_SLIM</t>
  </si>
  <si>
    <t>Q20_R0006_ESSE_SPECIAL_GOLD</t>
  </si>
  <si>
    <t>Q20_R0007_BASTOS_DO</t>
  </si>
  <si>
    <t>Q20_R0007_BASTOS_XANH</t>
  </si>
  <si>
    <t>Q20_R0007_CON_MEO</t>
  </si>
  <si>
    <t>Q20_R0007_CON_MEO_DEN</t>
  </si>
  <si>
    <t>Q20_R0007_CON_MEO_BAC_HA</t>
  </si>
  <si>
    <t>Q20_R0007_DIEN_BIEN</t>
  </si>
  <si>
    <t>Q20_R0007_Du_lich</t>
  </si>
  <si>
    <t>Q20_R0007_HOA_BINH</t>
  </si>
  <si>
    <t>Q20_R0007_KHANH_HOI</t>
  </si>
  <si>
    <t>Q20_R0007_MARLBORO_LIGHT</t>
  </si>
  <si>
    <t>Q20_R0007_MARLBORO_BAC_HA</t>
  </si>
  <si>
    <t>Q20_R0007_MILD_7</t>
  </si>
  <si>
    <t>Q20_R0007_MILD_7_LIGHT</t>
  </si>
  <si>
    <t>Q20_R0007_NHA_TRANG</t>
  </si>
  <si>
    <t>Q20_R0007_SEVEN_DIAMOND</t>
  </si>
  <si>
    <t>Q20_R0007_THANG_LONG</t>
  </si>
  <si>
    <t>Q20_R0007_TRI_AN</t>
  </si>
  <si>
    <t>Q20_R0007_WEST_DO</t>
  </si>
  <si>
    <t>Q20_R0007_WEST_XANH</t>
  </si>
  <si>
    <t>Q20_R0007_WHITE_HORSE</t>
  </si>
  <si>
    <t>Q20_R0007_WINSTON_DO</t>
  </si>
  <si>
    <t>Q20_R0007_WINSTON_XANH</t>
  </si>
  <si>
    <t>Q20_R0007_ESSE_GOLD</t>
  </si>
  <si>
    <t>Q20_R0007_DA_LAT</t>
  </si>
  <si>
    <t>Q20_R0007_MARLBORO_GOLD</t>
  </si>
  <si>
    <t>Q20_R0007_555_MAU_XANH</t>
  </si>
  <si>
    <t>Q20_R0007_JUNE_SLIM</t>
  </si>
  <si>
    <t>Q20_R0007_ESSE_SPECIAL_GOLD</t>
  </si>
  <si>
    <t>Q20_R0008_BASTOS_DO</t>
  </si>
  <si>
    <t>Q20_R0008_BASTOS_XANH</t>
  </si>
  <si>
    <t>Q20_R0008_CON_MEO</t>
  </si>
  <si>
    <t>Q20_R0008_CON_MEO_DEN</t>
  </si>
  <si>
    <t>Q20_R0008_CON_MEO_BAC_HA</t>
  </si>
  <si>
    <t>Q20_R0008_DIEN_BIEN</t>
  </si>
  <si>
    <t>Q20_R0008_Du_lich</t>
  </si>
  <si>
    <t>Q20_R0008_HOA_BINH</t>
  </si>
  <si>
    <t>Q20_R0008_KHANH_HOI</t>
  </si>
  <si>
    <t>Q20_R0008_MARLBORO_LIGHT</t>
  </si>
  <si>
    <t>Q20_R0008_MARLBORO_BAC_HA</t>
  </si>
  <si>
    <t>Q20_R0008_MILD_7</t>
  </si>
  <si>
    <t>Q20_R0008_MILD_7_LIGHT</t>
  </si>
  <si>
    <t>Q20_R0008_NHA_TRANG</t>
  </si>
  <si>
    <t>Q20_R0008_SEVEN_DIAMOND</t>
  </si>
  <si>
    <t>Q20_R0008_THANG_LONG</t>
  </si>
  <si>
    <t>Q20_R0008_TRI_AN</t>
  </si>
  <si>
    <t>Q20_R0008_WEST_DO</t>
  </si>
  <si>
    <t>Q20_R0008_WEST_XANH</t>
  </si>
  <si>
    <t>Q20_R0008_WHITE_HORSE</t>
  </si>
  <si>
    <t>Q20_R0008_WINSTON_DO</t>
  </si>
  <si>
    <t>Q20_R0008_WINSTON_XANH</t>
  </si>
  <si>
    <t>Q20_R0008_ESSE_GOLD</t>
  </si>
  <si>
    <t>Q20_R0008_DA_LAT</t>
  </si>
  <si>
    <t>Q20_R0008_MARLBORO_GOLD</t>
  </si>
  <si>
    <t>Q20_R0008_555_MAU_XANH</t>
  </si>
  <si>
    <t>Q20_R0008_JUNE_SLIM</t>
  </si>
  <si>
    <t>Q20_R0008_ESSE_SPECIAL_GOLD</t>
  </si>
  <si>
    <t>Q20_R0009_BASTOS_DO</t>
  </si>
  <si>
    <t>Q20_R0009_BASTOS_XANH</t>
  </si>
  <si>
    <t>Q20_R0009_CON_MEO</t>
  </si>
  <si>
    <t>Q20_R0009_CON_MEO_DEN</t>
  </si>
  <si>
    <t>Q20_R0009_CON_MEO_BAC_HA</t>
  </si>
  <si>
    <t>Q20_R0009_DIEN_BIEN</t>
  </si>
  <si>
    <t>Q20_R0009_Du_lich</t>
  </si>
  <si>
    <t>Q20_R0009_HOA_BINH</t>
  </si>
  <si>
    <t>Q20_R0009_KHANH_HOI</t>
  </si>
  <si>
    <t>Q20_R0009_MARLBORO_LIGHT</t>
  </si>
  <si>
    <t>Q20_R0009_MARLBORO_BAC_HA</t>
  </si>
  <si>
    <t>Q20_R0009_MILD_7</t>
  </si>
  <si>
    <t>Q20_R0009_MILD_7_LIGHT</t>
  </si>
  <si>
    <t>Q20_R0009_NHA_TRANG</t>
  </si>
  <si>
    <t>Q20_R0009_SEVEN_DIAMOND</t>
  </si>
  <si>
    <t>Q20_R0009_THANG_LONG</t>
  </si>
  <si>
    <t>Q20_R0009_TRI_AN</t>
  </si>
  <si>
    <t>Q20_R0009_WEST_DO</t>
  </si>
  <si>
    <t>Q20_R0009_WEST_XANH</t>
  </si>
  <si>
    <t>Q20_R0009_WHITE_HORSE</t>
  </si>
  <si>
    <t>Q20_R0009_WINSTON_DO</t>
  </si>
  <si>
    <t>Q20_R0009_WINSTON_XANH</t>
  </si>
  <si>
    <t>Q20_R0009_ESSE_GOLD</t>
  </si>
  <si>
    <t>Q20_R0009_DA_LAT</t>
  </si>
  <si>
    <t>Q20_R0009_MARLBORO_GOLD</t>
  </si>
  <si>
    <t>Q20_R0009_555_MAU_XANH</t>
  </si>
  <si>
    <t>Q20_R0009_JUNE_SLIM</t>
  </si>
  <si>
    <t>Q20_R0009_ESSE_SPECIAL_GOLD</t>
  </si>
  <si>
    <t>Q20_R0010_BASTOS_DO</t>
  </si>
  <si>
    <t>Q20_R0010_BASTOS_XANH</t>
  </si>
  <si>
    <t>Q20_R0010_CON_MEO</t>
  </si>
  <si>
    <t>Q20_R0010_CON_MEO_DEN</t>
  </si>
  <si>
    <t>Q20_R0010_CON_MEO_BAC_HA</t>
  </si>
  <si>
    <t>Q20_R0010_DIEN_BIEN</t>
  </si>
  <si>
    <t>Q20_R0010_Du_lich</t>
  </si>
  <si>
    <t>Q20_R0010_HOA_BINH</t>
  </si>
  <si>
    <t>Q20_R0010_KHANH_HOI</t>
  </si>
  <si>
    <t>Q20_R0010_MARLBORO_LIGHT</t>
  </si>
  <si>
    <t>Q20_R0010_MARLBORO_BAC_HA</t>
  </si>
  <si>
    <t>Q20_R0010_MILD_7</t>
  </si>
  <si>
    <t>Q20_R0010_MILD_7_LIGHT</t>
  </si>
  <si>
    <t>Q20_R0010_NHA_TRANG</t>
  </si>
  <si>
    <t>Q20_R0010_SEVEN_DIAMOND</t>
  </si>
  <si>
    <t>Q20_R0010_THANG_LONG</t>
  </si>
  <si>
    <t>Q20_R0010_TRI_AN</t>
  </si>
  <si>
    <t>Q20_R0010_WEST_DO</t>
  </si>
  <si>
    <t>Q20_R0010_WEST_XANH</t>
  </si>
  <si>
    <t>Q20_R0010_WHITE_HORSE</t>
  </si>
  <si>
    <t>Q20_R0010_WINSTON_DO</t>
  </si>
  <si>
    <t>Q20_R0010_WINSTON_XANH</t>
  </si>
  <si>
    <t>Q20_R0010_ESSE_GOLD</t>
  </si>
  <si>
    <t>Q20_R0010_DA_LAT</t>
  </si>
  <si>
    <t>Q20_R0010_MARLBORO_GOLD</t>
  </si>
  <si>
    <t>Q20_R0010_555_MAU_XANH</t>
  </si>
  <si>
    <t>Q20_R0010_JUNE_SLIM</t>
  </si>
  <si>
    <t>Q20_R0010_ESSE_SPECIAL_GOLD</t>
  </si>
  <si>
    <t>Q20_R0011_BASTOS_DO</t>
  </si>
  <si>
    <t>Q20_R0011_BASTOS_XANH</t>
  </si>
  <si>
    <t>Q20_R0011_CON_MEO</t>
  </si>
  <si>
    <t>Q20_R0011_CON_MEO_DEN</t>
  </si>
  <si>
    <t>Q20_R0011_CON_MEO_BAC_HA</t>
  </si>
  <si>
    <t>Q20_R0011_DIEN_BIEN</t>
  </si>
  <si>
    <t>Q20_R0011_Du_lich</t>
  </si>
  <si>
    <t>Q20_R0011_HOA_BINH</t>
  </si>
  <si>
    <t>Q20_R0011_KHANH_HOI</t>
  </si>
  <si>
    <t>Q20_R0011_MARLBORO_LIGHT</t>
  </si>
  <si>
    <t>Q20_R0011_MARLBORO_BAC_HA</t>
  </si>
  <si>
    <t>Q20_R0011_MILD_7</t>
  </si>
  <si>
    <t>Q20_R0011_MILD_7_LIGHT</t>
  </si>
  <si>
    <t>Q20_R0011_NHA_TRANG</t>
  </si>
  <si>
    <t>Q20_R0011_SEVEN_DIAMOND</t>
  </si>
  <si>
    <t>Q20_R0011_THANG_LONG</t>
  </si>
  <si>
    <t>Q20_R0011_TRI_AN</t>
  </si>
  <si>
    <t>Q20_R0011_WEST_DO</t>
  </si>
  <si>
    <t>Q20_R0011_WEST_XANH</t>
  </si>
  <si>
    <t>Q20_R0011_WHITE_HORSE</t>
  </si>
  <si>
    <t>Q20_R0011_WINSTON_DO</t>
  </si>
  <si>
    <t>Q20_R0011_WINSTON_XANH</t>
  </si>
  <si>
    <t>Q20_R0011_ESSE_GOLD</t>
  </si>
  <si>
    <t>Q20_R0011_DA_LAT</t>
  </si>
  <si>
    <t>Q20_R0011_MARLBORO_GOLD</t>
  </si>
  <si>
    <t>Q20_R0011_555_MAU_XANH</t>
  </si>
  <si>
    <t>Q20_R0011_JUNE_SLIM</t>
  </si>
  <si>
    <t>Q20_R0011_ESSE_SPECIAL_GOLD</t>
  </si>
  <si>
    <t>Q20_R0012_BASTOS_DO</t>
  </si>
  <si>
    <t>Q20_R0012_BASTOS_XANH</t>
  </si>
  <si>
    <t>Q20_R0012_CON_MEO</t>
  </si>
  <si>
    <t>Q20_R0012_CON_MEO_DEN</t>
  </si>
  <si>
    <t>Q20_R0012_CON_MEO_BAC_HA</t>
  </si>
  <si>
    <t>Q20_R0012_DIEN_BIEN</t>
  </si>
  <si>
    <t>Q20_R0012_Du_lich</t>
  </si>
  <si>
    <t>Q20_R0012_HOA_BINH</t>
  </si>
  <si>
    <t>Q20_R0012_KHANH_HOI</t>
  </si>
  <si>
    <t>Q20_R0012_MARLBORO_LIGHT</t>
  </si>
  <si>
    <t>Q20_R0012_MARLBORO_BAC_HA</t>
  </si>
  <si>
    <t>Q20_R0012_MILD_7</t>
  </si>
  <si>
    <t>Q20_R0012_MILD_7_LIGHT</t>
  </si>
  <si>
    <t>Q20_R0012_NHA_TRANG</t>
  </si>
  <si>
    <t>Q20_R0012_SEVEN_DIAMOND</t>
  </si>
  <si>
    <t>Q20_R0012_THANG_LONG</t>
  </si>
  <si>
    <t>Q20_R0012_TRI_AN</t>
  </si>
  <si>
    <t>Q20_R0012_WEST_DO</t>
  </si>
  <si>
    <t>Q20_R0012_WEST_XANH</t>
  </si>
  <si>
    <t>Q20_R0012_WHITE_HORSE</t>
  </si>
  <si>
    <t>Q20_R0012_WINSTON_DO</t>
  </si>
  <si>
    <t>Q20_R0012_WINSTON_XANH</t>
  </si>
  <si>
    <t>Q20_R0012_ESSE_GOLD</t>
  </si>
  <si>
    <t>Q20_R0012_DA_LAT</t>
  </si>
  <si>
    <t>Q20_R0012_MARLBORO_GOLD</t>
  </si>
  <si>
    <t>Q20_R0012_555_MAU_XANH</t>
  </si>
  <si>
    <t>Q20_R0012_JUNE_SLIM</t>
  </si>
  <si>
    <t>Q20_R0012_ESSE_SPECIAL_GOLD</t>
  </si>
  <si>
    <t>Q20_R0013_BASTOS_DO</t>
  </si>
  <si>
    <t>Q20_R0013_BASTOS_XANH</t>
  </si>
  <si>
    <t>Q20_R0013_CON_MEO</t>
  </si>
  <si>
    <t>Q20_R0013_CON_MEO_DEN</t>
  </si>
  <si>
    <t>Q20_R0013_CON_MEO_BAC_HA</t>
  </si>
  <si>
    <t>Q20_R0013_DIEN_BIEN</t>
  </si>
  <si>
    <t>Q20_R0013_Du_lich</t>
  </si>
  <si>
    <t>Q20_R0013_HOA_BINH</t>
  </si>
  <si>
    <t>Q20_R0013_KHANH_HOI</t>
  </si>
  <si>
    <t>Q20_R0013_MARLBORO_LIGHT</t>
  </si>
  <si>
    <t>Q20_R0013_MARLBORO_BAC_HA</t>
  </si>
  <si>
    <t>Q20_R0013_MILD_7</t>
  </si>
  <si>
    <t>Q20_R0013_MILD_7_LIGHT</t>
  </si>
  <si>
    <t>Q20_R0013_NHA_TRANG</t>
  </si>
  <si>
    <t>Q20_R0013_SEVEN_DIAMOND</t>
  </si>
  <si>
    <t>Q20_R0013_THANG_LONG</t>
  </si>
  <si>
    <t>Q20_R0013_TRI_AN</t>
  </si>
  <si>
    <t>Q20_R0013_WEST_DO</t>
  </si>
  <si>
    <t>Q20_R0013_WEST_XANH</t>
  </si>
  <si>
    <t>Q20_R0013_WHITE_HORSE</t>
  </si>
  <si>
    <t>Q20_R0013_WINSTON_DO</t>
  </si>
  <si>
    <t>Q20_R0013_WINSTON_XANH</t>
  </si>
  <si>
    <t>Q20_R0013_ESSE_GOLD</t>
  </si>
  <si>
    <t>Q20_R0013_DA_LAT</t>
  </si>
  <si>
    <t>Q20_R0013_MARLBORO_GOLD</t>
  </si>
  <si>
    <t>Q20_R0013_555_MAU_XANH</t>
  </si>
  <si>
    <t>Q20_R0013_JUNE_SLIM</t>
  </si>
  <si>
    <t>Q20_R0013_ESSE_SPECIAL_GOLD</t>
  </si>
  <si>
    <t>Q20_R0014_BASTOS_DO</t>
  </si>
  <si>
    <t>Q20_R0014_BASTOS_XANH</t>
  </si>
  <si>
    <t>Q20_R0014_CON_MEO</t>
  </si>
  <si>
    <t>Q20_R0014_CON_MEO_DEN</t>
  </si>
  <si>
    <t>Q20_R0014_CON_MEO_BAC_HA</t>
  </si>
  <si>
    <t>Q20_R0014_DIEN_BIEN</t>
  </si>
  <si>
    <t>Q20_R0014_Du_lich</t>
  </si>
  <si>
    <t>Q20_R0014_HOA_BINH</t>
  </si>
  <si>
    <t>Q20_R0014_KHANH_HOI</t>
  </si>
  <si>
    <t>Q20_R0014_MARLBORO_LIGHT</t>
  </si>
  <si>
    <t>Q20_R0014_MARLBORO_BAC_HA</t>
  </si>
  <si>
    <t>Q20_R0014_MILD_7</t>
  </si>
  <si>
    <t>Q20_R0014_MILD_7_LIGHT</t>
  </si>
  <si>
    <t>Q20_R0014_NHA_TRANG</t>
  </si>
  <si>
    <t>Q20_R0014_SEVEN_DIAMOND</t>
  </si>
  <si>
    <t>Q20_R0014_THANG_LONG</t>
  </si>
  <si>
    <t>Q20_R0014_TRI_AN</t>
  </si>
  <si>
    <t>Q20_R0014_WEST_DO</t>
  </si>
  <si>
    <t>Q20_R0014_WEST_XANH</t>
  </si>
  <si>
    <t>Q20_R0014_WHITE_HORSE</t>
  </si>
  <si>
    <t>Q20_R0014_WINSTON_DO</t>
  </si>
  <si>
    <t>Q20_R0014_WINSTON_XANH</t>
  </si>
  <si>
    <t>Q20_R0014_ESSE_GOLD</t>
  </si>
  <si>
    <t>Q20_R0014_DA_LAT</t>
  </si>
  <si>
    <t>Q20_R0014_MARLBORO_GOLD</t>
  </si>
  <si>
    <t>Q20_R0014_555_MAU_XANH</t>
  </si>
  <si>
    <t>Q20_R0014_JUNE_SLIM</t>
  </si>
  <si>
    <t>Q20_R0014_ESSE_SPECIAL_GOLD</t>
  </si>
  <si>
    <t>Q20_R0015_BASTOS_DO</t>
  </si>
  <si>
    <t>Q20_R0015_BASTOS_XANH</t>
  </si>
  <si>
    <t>Q20_R0015_CON_MEO</t>
  </si>
  <si>
    <t>Q20_R0015_CON_MEO_DEN</t>
  </si>
  <si>
    <t>Q20_R0015_CON_MEO_BAC_HA</t>
  </si>
  <si>
    <t>Q20_R0015_DIEN_BIEN</t>
  </si>
  <si>
    <t>Q20_R0015_Du_lich</t>
  </si>
  <si>
    <t>Q20_R0015_HOA_BINH</t>
  </si>
  <si>
    <t>Q20_R0015_KHANH_HOI</t>
  </si>
  <si>
    <t>Q20_R0015_MARLBORO_LIGHT</t>
  </si>
  <si>
    <t>Q20_R0015_MARLBORO_BAC_HA</t>
  </si>
  <si>
    <t>Q20_R0015_MILD_7</t>
  </si>
  <si>
    <t>Q20_R0015_MILD_7_LIGHT</t>
  </si>
  <si>
    <t>Q20_R0015_NHA_TRANG</t>
  </si>
  <si>
    <t>Q20_R0015_SEVEN_DIAMOND</t>
  </si>
  <si>
    <t>Q20_R0015_THANG_LONG</t>
  </si>
  <si>
    <t>Q20_R0015_TRI_AN</t>
  </si>
  <si>
    <t>Q20_R0015_WEST_DO</t>
  </si>
  <si>
    <t>Q20_R0015_WEST_XANH</t>
  </si>
  <si>
    <t>Q20_R0015_WHITE_HORSE</t>
  </si>
  <si>
    <t>Q20_R0015_WINSTON_DO</t>
  </si>
  <si>
    <t>Q20_R0015_WINSTON_XANH</t>
  </si>
  <si>
    <t>Q20_R0015_ESSE_GOLD</t>
  </si>
  <si>
    <t>Q20_R0015_DA_LAT</t>
  </si>
  <si>
    <t>Q20_R0015_MARLBORO_GOLD</t>
  </si>
  <si>
    <t>Q20_R0015_555_MAU_XANH</t>
  </si>
  <si>
    <t>Q20_R0015_JUNE_SLIM</t>
  </si>
  <si>
    <t>Q20_R0015_ESSE_SPECIAL_GOLD</t>
  </si>
  <si>
    <t>Q20_R0016_BASTOS_DO</t>
  </si>
  <si>
    <t>Q20_R0016_BASTOS_XANH</t>
  </si>
  <si>
    <t>Q20_R0016_CON_MEO</t>
  </si>
  <si>
    <t>Q20_R0016_CON_MEO_DEN</t>
  </si>
  <si>
    <t>Q20_R0016_CON_MEO_BAC_HA</t>
  </si>
  <si>
    <t>Q20_R0016_DIEN_BIEN</t>
  </si>
  <si>
    <t>Q20_R0016_Du_lich</t>
  </si>
  <si>
    <t>Q20_R0016_HOA_BINH</t>
  </si>
  <si>
    <t>Q20_R0016_KHANH_HOI</t>
  </si>
  <si>
    <t>Q20_R0016_MARLBORO_LIGHT</t>
  </si>
  <si>
    <t>Q20_R0016_MARLBORO_BAC_HA</t>
  </si>
  <si>
    <t>Q20_R0016_MILD_7</t>
  </si>
  <si>
    <t>Q20_R0016_MILD_7_LIGHT</t>
  </si>
  <si>
    <t>Q20_R0016_NHA_TRANG</t>
  </si>
  <si>
    <t>Q20_R0016_SEVEN_DIAMOND</t>
  </si>
  <si>
    <t>Q20_R0016_THANG_LONG</t>
  </si>
  <si>
    <t>Q20_R0016_TRI_AN</t>
  </si>
  <si>
    <t>Q20_R0016_WEST_DO</t>
  </si>
  <si>
    <t>Q20_R0016_WEST_XANH</t>
  </si>
  <si>
    <t>Q20_R0016_WHITE_HORSE</t>
  </si>
  <si>
    <t>Q20_R0016_WINSTON_DO</t>
  </si>
  <si>
    <t>Q20_R0016_WINSTON_XANH</t>
  </si>
  <si>
    <t>Q20_R0016_ESSE_GOLD</t>
  </si>
  <si>
    <t>Q20_R0016_DA_LAT</t>
  </si>
  <si>
    <t>Q20_R0016_MARLBORO_GOLD</t>
  </si>
  <si>
    <t>Q20_R0016_555_MAU_XANH</t>
  </si>
  <si>
    <t>Q20_R0016_JUNE_SLIM</t>
  </si>
  <si>
    <t>Q20_R0016_ESSE_SPECIAL_GOLD</t>
  </si>
  <si>
    <t>Q20_R0017_BASTOS_DO</t>
  </si>
  <si>
    <t>Q20_R0017_BASTOS_XANH</t>
  </si>
  <si>
    <t>Q20_R0017_CON_MEO</t>
  </si>
  <si>
    <t>Q20_R0017_CON_MEO_DEN</t>
  </si>
  <si>
    <t>Q20_R0017_CON_MEO_BAC_HA</t>
  </si>
  <si>
    <t>Q20_R0017_DIEN_BIEN</t>
  </si>
  <si>
    <t>Q20_R0017_Du_lich</t>
  </si>
  <si>
    <t>Q20_R0017_HOA_BINH</t>
  </si>
  <si>
    <t>Q20_R0017_KHANH_HOI</t>
  </si>
  <si>
    <t>Q20_R0017_MARLBORO_LIGHT</t>
  </si>
  <si>
    <t>Q20_R0017_MARLBORO_BAC_HA</t>
  </si>
  <si>
    <t>Q20_R0017_MILD_7</t>
  </si>
  <si>
    <t>Q20_R0017_MILD_7_LIGHT</t>
  </si>
  <si>
    <t>Q20_R0017_NHA_TRANG</t>
  </si>
  <si>
    <t>Q20_R0017_SEVEN_DIAMOND</t>
  </si>
  <si>
    <t>Q20_R0017_THANG_LONG</t>
  </si>
  <si>
    <t>Q20_R0017_TRI_AN</t>
  </si>
  <si>
    <t>Q20_R0017_WEST_DO</t>
  </si>
  <si>
    <t>Q20_R0017_WEST_XANH</t>
  </si>
  <si>
    <t>Q20_R0017_WHITE_HORSE</t>
  </si>
  <si>
    <t>Q20_R0017_WINSTON_DO</t>
  </si>
  <si>
    <t>Q20_R0017_WINSTON_XANH</t>
  </si>
  <si>
    <t>Q20_R0017_ESSE_GOLD</t>
  </si>
  <si>
    <t>Q20_R0017_DA_LAT</t>
  </si>
  <si>
    <t>Q20_R0017_MARLBORO_GOLD</t>
  </si>
  <si>
    <t>Q20_R0017_555_MAU_XANH</t>
  </si>
  <si>
    <t>Q20_R0017_JUNE_SLIM</t>
  </si>
  <si>
    <t>Q20_R0017_ESSE_SPECIAL_GOLD</t>
  </si>
  <si>
    <t>Q20_R0018_BASTOS_DO</t>
  </si>
  <si>
    <t>Q20_R0018_BASTOS_XANH</t>
  </si>
  <si>
    <t>Q20_R0018_CON_MEO</t>
  </si>
  <si>
    <t>Q20_R0018_CON_MEO_DEN</t>
  </si>
  <si>
    <t>Q20_R0018_CON_MEO_BAC_HA</t>
  </si>
  <si>
    <t>Q20_R0018_DIEN_BIEN</t>
  </si>
  <si>
    <t>Q20_R0018_Du_lich</t>
  </si>
  <si>
    <t>Q20_R0018_HOA_BINH</t>
  </si>
  <si>
    <t>Q20_R0018_KHANH_HOI</t>
  </si>
  <si>
    <t>Q20_R0018_MARLBORO_LIGHT</t>
  </si>
  <si>
    <t>Q20_R0018_MARLBORO_BAC_HA</t>
  </si>
  <si>
    <t>Q20_R0018_MILD_7</t>
  </si>
  <si>
    <t>Q20_R0018_MILD_7_LIGHT</t>
  </si>
  <si>
    <t>Q20_R0018_NHA_TRANG</t>
  </si>
  <si>
    <t>Q20_R0018_SEVEN_DIAMOND</t>
  </si>
  <si>
    <t>Q20_R0018_THANG_LONG</t>
  </si>
  <si>
    <t>Q20_R0018_TRI_AN</t>
  </si>
  <si>
    <t>Q20_R0018_WEST_DO</t>
  </si>
  <si>
    <t>Q20_R0018_WEST_XANH</t>
  </si>
  <si>
    <t>Q20_R0018_WHITE_HORSE</t>
  </si>
  <si>
    <t>Q20_R0018_WINSTON_DO</t>
  </si>
  <si>
    <t>Q20_R0018_WINSTON_XANH</t>
  </si>
  <si>
    <t>Q20_R0018_ESSE_GOLD</t>
  </si>
  <si>
    <t>Q20_R0018_DA_LAT</t>
  </si>
  <si>
    <t>Q20_R0018_MARLBORO_GOLD</t>
  </si>
  <si>
    <t>Q20_R0018_555_MAU_XANH</t>
  </si>
  <si>
    <t>Q20_R0018_JUNE_SLIM</t>
  </si>
  <si>
    <t>Q20_R0018_ESSE_SPECIAL_GOLD</t>
  </si>
  <si>
    <t>Q20_R0019_BASTOS_DO</t>
  </si>
  <si>
    <t>Q20_R0019_BASTOS_XANH</t>
  </si>
  <si>
    <t>Q20_R0019_CON_MEO</t>
  </si>
  <si>
    <t>Q20_R0019_CON_MEO_DEN</t>
  </si>
  <si>
    <t>Q20_R0019_CON_MEO_BAC_HA</t>
  </si>
  <si>
    <t>Q20_R0019_DIEN_BIEN</t>
  </si>
  <si>
    <t>Q20_R0019_Du_lich</t>
  </si>
  <si>
    <t>Q20_R0019_HOA_BINH</t>
  </si>
  <si>
    <t>Q20_R0019_KHANH_HOI</t>
  </si>
  <si>
    <t>Q20_R0019_MARLBORO_LIGHT</t>
  </si>
  <si>
    <t>Q20_R0019_MARLBORO_BAC_HA</t>
  </si>
  <si>
    <t>Q20_R0019_MILD_7</t>
  </si>
  <si>
    <t>Q20_R0019_MILD_7_LIGHT</t>
  </si>
  <si>
    <t>Q20_R0019_NHA_TRANG</t>
  </si>
  <si>
    <t>Q20_R0019_SEVEN_DIAMOND</t>
  </si>
  <si>
    <t>Q20_R0019_THANG_LONG</t>
  </si>
  <si>
    <t>Q20_R0019_TRI_AN</t>
  </si>
  <si>
    <t>Q20_R0019_WEST_DO</t>
  </si>
  <si>
    <t>Q20_R0019_WEST_XANH</t>
  </si>
  <si>
    <t>Q20_R0019_WHITE_HORSE</t>
  </si>
  <si>
    <t>Q20_R0019_WINSTON_DO</t>
  </si>
  <si>
    <t>Q20_R0019_WINSTON_XANH</t>
  </si>
  <si>
    <t>Q20_R0019_ESSE_GOLD</t>
  </si>
  <si>
    <t>Q20_R0019_DA_LAT</t>
  </si>
  <si>
    <t>Q20_R0019_MARLBORO_GOLD</t>
  </si>
  <si>
    <t>Q20_R0019_555_MAU_XANH</t>
  </si>
  <si>
    <t>Q20_R0019_JUNE_SLIM</t>
  </si>
  <si>
    <t>Q20_R0019_ESSE_SPECIAL_GOLD</t>
  </si>
  <si>
    <t>Q20_R0020_BASTOS_DO</t>
  </si>
  <si>
    <t>Q20_R0020_BASTOS_XANH</t>
  </si>
  <si>
    <t>Q20_R0020_CON_MEO</t>
  </si>
  <si>
    <t>Q20_R0020_CON_MEO_DEN</t>
  </si>
  <si>
    <t>Q20_R0020_CON_MEO_BAC_HA</t>
  </si>
  <si>
    <t>Q20_R0020_DIEN_BIEN</t>
  </si>
  <si>
    <t>Q20_R0020_Du_lich</t>
  </si>
  <si>
    <t>Q20_R0020_HOA_BINH</t>
  </si>
  <si>
    <t>Q20_R0020_KHANH_HOI</t>
  </si>
  <si>
    <t>Q20_R0020_MARLBORO_LIGHT</t>
  </si>
  <si>
    <t>Q20_R0020_MARLBORO_BAC_HA</t>
  </si>
  <si>
    <t>Q20_R0020_MILD_7</t>
  </si>
  <si>
    <t>Q20_R0020_MILD_7_LIGHT</t>
  </si>
  <si>
    <t>Q20_R0020_NHA_TRANG</t>
  </si>
  <si>
    <t>Q20_R0020_SEVEN_DIAMOND</t>
  </si>
  <si>
    <t>Q20_R0020_THANG_LONG</t>
  </si>
  <si>
    <t>Q20_R0020_TRI_AN</t>
  </si>
  <si>
    <t>Q20_R0020_WEST_DO</t>
  </si>
  <si>
    <t>Q20_R0020_WEST_XANH</t>
  </si>
  <si>
    <t>Q20_R0020_WHITE_HORSE</t>
  </si>
  <si>
    <t>Q20_R0020_WINSTON_DO</t>
  </si>
  <si>
    <t>Q20_R0020_WINSTON_XANH</t>
  </si>
  <si>
    <t>Q20_R0020_ESSE_GOLD</t>
  </si>
  <si>
    <t>Q20_R0020_DA_LAT</t>
  </si>
  <si>
    <t>Q20_R0020_MARLBORO_GOLD</t>
  </si>
  <si>
    <t>Q20_R0020_555_MAU_XANH</t>
  </si>
  <si>
    <t>Q20_R0020_JUNE_SLIM</t>
  </si>
  <si>
    <t>Q20_R0020_ESSE_SPECIAL_GOLD</t>
  </si>
  <si>
    <t>Q20_R0021_BASTOS_DO</t>
  </si>
  <si>
    <t>Q20_R0021_BASTOS_XANH</t>
  </si>
  <si>
    <t>Q20_R0021_CON_MEO</t>
  </si>
  <si>
    <t>Q20_R0021_CON_MEO_DEN</t>
  </si>
  <si>
    <t>Q20_R0021_CON_MEO_BAC_HA</t>
  </si>
  <si>
    <t>Q20_R0021_DIEN_BIEN</t>
  </si>
  <si>
    <t>Q20_R0021_Du_lich</t>
  </si>
  <si>
    <t>Q20_R0021_HOA_BINH</t>
  </si>
  <si>
    <t>Q20_R0021_KHANH_HOI</t>
  </si>
  <si>
    <t>Q20_R0021_MARLBORO_LIGHT</t>
  </si>
  <si>
    <t>Q20_R0021_MARLBORO_BAC_HA</t>
  </si>
  <si>
    <t>Q20_R0021_MILD_7</t>
  </si>
  <si>
    <t>Q20_R0021_MILD_7_LIGHT</t>
  </si>
  <si>
    <t>Q20_R0021_NHA_TRANG</t>
  </si>
  <si>
    <t>Q20_R0021_SEVEN_DIAMOND</t>
  </si>
  <si>
    <t>Q20_R0021_THANG_LONG</t>
  </si>
  <si>
    <t>Q20_R0021_TRI_AN</t>
  </si>
  <si>
    <t>Q20_R0021_WEST_DO</t>
  </si>
  <si>
    <t>Q20_R0021_WEST_XANH</t>
  </si>
  <si>
    <t>Q20_R0021_WHITE_HORSE</t>
  </si>
  <si>
    <t>Q20_R0021_WINSTON_DO</t>
  </si>
  <si>
    <t>Q20_R0021_WINSTON_XANH</t>
  </si>
  <si>
    <t>Q20_R0021_ESSE_GOLD</t>
  </si>
  <si>
    <t>Q20_R0021_DA_LAT</t>
  </si>
  <si>
    <t>Q20_R0021_MARLBORO_GOLD</t>
  </si>
  <si>
    <t>Q20_R0021_555_MAU_XANH</t>
  </si>
  <si>
    <t>Q20_R0021_JUNE_SLIM</t>
  </si>
  <si>
    <t>Q20_R0021_ESSE_SPECIAL_GOLD</t>
  </si>
  <si>
    <t>Q20_R0022_BASTOS_DO</t>
  </si>
  <si>
    <t>Q20_R0022_BASTOS_XANH</t>
  </si>
  <si>
    <t>Q20_R0022_CON_MEO</t>
  </si>
  <si>
    <t>Q20_R0022_CON_MEO_DEN</t>
  </si>
  <si>
    <t>Q20_R0022_CON_MEO_BAC_HA</t>
  </si>
  <si>
    <t>Q20_R0022_DIEN_BIEN</t>
  </si>
  <si>
    <t>Q20_R0022_Du_lich</t>
  </si>
  <si>
    <t>Q20_R0022_HOA_BINH</t>
  </si>
  <si>
    <t>Q20_R0022_KHANH_HOI</t>
  </si>
  <si>
    <t>Q20_R0022_MARLBORO_LIGHT</t>
  </si>
  <si>
    <t>Q20_R0022_MARLBORO_BAC_HA</t>
  </si>
  <si>
    <t>Q20_R0022_MILD_7</t>
  </si>
  <si>
    <t>Q20_R0022_MILD_7_LIGHT</t>
  </si>
  <si>
    <t>Q20_R0022_NHA_TRANG</t>
  </si>
  <si>
    <t>Q20_R0022_SEVEN_DIAMOND</t>
  </si>
  <si>
    <t>Q20_R0022_THANG_LONG</t>
  </si>
  <si>
    <t>Q20_R0022_TRI_AN</t>
  </si>
  <si>
    <t>Q20_R0022_WEST_DO</t>
  </si>
  <si>
    <t>Q20_R0022_WEST_XANH</t>
  </si>
  <si>
    <t>Q20_R0022_WHITE_HORSE</t>
  </si>
  <si>
    <t>Q20_R0022_WINSTON_DO</t>
  </si>
  <si>
    <t>Q20_R0022_WINSTON_XANH</t>
  </si>
  <si>
    <t>Q20_R0022_ESSE_GOLD</t>
  </si>
  <si>
    <t>Q20_R0022_DA_LAT</t>
  </si>
  <si>
    <t>Q20_R0022_MARLBORO_GOLD</t>
  </si>
  <si>
    <t>Q20_R0022_555_MAU_XANH</t>
  </si>
  <si>
    <t>Q20_R0022_JUNE_SLIM</t>
  </si>
  <si>
    <t>Q20_R0022_ESSE_SPECIAL_GOLD</t>
  </si>
  <si>
    <t>Q20_R0023_BASTOS_DO</t>
  </si>
  <si>
    <t>Q20_R0023_BASTOS_XANH</t>
  </si>
  <si>
    <t>Q20_R0023_CON_MEO</t>
  </si>
  <si>
    <t>Q20_R0023_CON_MEO_DEN</t>
  </si>
  <si>
    <t>Q20_R0023_CON_MEO_BAC_HA</t>
  </si>
  <si>
    <t>Q20_R0023_DIEN_BIEN</t>
  </si>
  <si>
    <t>Q20_R0023_Du_lich</t>
  </si>
  <si>
    <t>Q20_R0023_HOA_BINH</t>
  </si>
  <si>
    <t>Q20_R0023_KHANH_HOI</t>
  </si>
  <si>
    <t>Q20_R0023_MARLBORO_LIGHT</t>
  </si>
  <si>
    <t>Q20_R0023_MARLBORO_BAC_HA</t>
  </si>
  <si>
    <t>Q20_R0023_MILD_7</t>
  </si>
  <si>
    <t>Q20_R0023_MILD_7_LIGHT</t>
  </si>
  <si>
    <t>Q20_R0023_NHA_TRANG</t>
  </si>
  <si>
    <t>Q20_R0023_SEVEN_DIAMOND</t>
  </si>
  <si>
    <t>Q20_R0023_THANG_LONG</t>
  </si>
  <si>
    <t>Q20_R0023_TRI_AN</t>
  </si>
  <si>
    <t>Q20_R0023_WEST_DO</t>
  </si>
  <si>
    <t>Q20_R0023_WEST_XANH</t>
  </si>
  <si>
    <t>Q20_R0023_WHITE_HORSE</t>
  </si>
  <si>
    <t>Q20_R0023_WINSTON_DO</t>
  </si>
  <si>
    <t>Q20_R0023_WINSTON_XANH</t>
  </si>
  <si>
    <t>Q20_R0023_ESSE_GOLD</t>
  </si>
  <si>
    <t>Q20_R0023_DA_LAT</t>
  </si>
  <si>
    <t>Q20_R0023_MARLBORO_GOLD</t>
  </si>
  <si>
    <t>Q20_R0023_555_MAU_XANH</t>
  </si>
  <si>
    <t>Q20_R0023_JUNE_SLIM</t>
  </si>
  <si>
    <t>Q20_R0023_ESSE_SPECIAL_GOLD</t>
  </si>
  <si>
    <t>Q20_R0024_BASTOS_DO</t>
  </si>
  <si>
    <t>Q20_R0024_BASTOS_XANH</t>
  </si>
  <si>
    <t>Q20_R0024_CON_MEO</t>
  </si>
  <si>
    <t>Q20_R0024_CON_MEO_DEN</t>
  </si>
  <si>
    <t>Q20_R0024_CON_MEO_BAC_HA</t>
  </si>
  <si>
    <t>Q20_R0024_DIEN_BIEN</t>
  </si>
  <si>
    <t>Q20_R0024_Du_lich</t>
  </si>
  <si>
    <t>Q20_R0024_HOA_BINH</t>
  </si>
  <si>
    <t>Q20_R0024_KHANH_HOI</t>
  </si>
  <si>
    <t>Q20_R0024_MARLBORO_LIGHT</t>
  </si>
  <si>
    <t>Q20_R0024_MARLBORO_BAC_HA</t>
  </si>
  <si>
    <t>Q20_R0024_MILD_7</t>
  </si>
  <si>
    <t>Q20_R0024_MILD_7_LIGHT</t>
  </si>
  <si>
    <t>Q20_R0024_NHA_TRANG</t>
  </si>
  <si>
    <t>Q20_R0024_SEVEN_DIAMOND</t>
  </si>
  <si>
    <t>Q20_R0024_THANG_LONG</t>
  </si>
  <si>
    <t>Q20_R0024_TRI_AN</t>
  </si>
  <si>
    <t>Q20_R0024_WEST_DO</t>
  </si>
  <si>
    <t>Q20_R0024_WEST_XANH</t>
  </si>
  <si>
    <t>Q20_R0024_WHITE_HORSE</t>
  </si>
  <si>
    <t>Q20_R0024_WINSTON_DO</t>
  </si>
  <si>
    <t>Q20_R0024_WINSTON_XANH</t>
  </si>
  <si>
    <t>Q20_R0024_ESSE_GOLD</t>
  </si>
  <si>
    <t>Q20_R0024_DA_LAT</t>
  </si>
  <si>
    <t>Q20_R0024_MARLBORO_GOLD</t>
  </si>
  <si>
    <t>Q20_R0024_555_MAU_XANH</t>
  </si>
  <si>
    <t>Q20_R0024_JUNE_SLIM</t>
  </si>
  <si>
    <t>Q20_R0024_ESSE_SPECIAL_GOLD</t>
  </si>
  <si>
    <t>Q20_R0025_BASTOS_DO</t>
  </si>
  <si>
    <t>Q20_R0025_BASTOS_XANH</t>
  </si>
  <si>
    <t>Q20_R0025_CON_MEO</t>
  </si>
  <si>
    <t>Q20_R0025_CON_MEO_DEN</t>
  </si>
  <si>
    <t>Q20_R0025_CON_MEO_BAC_HA</t>
  </si>
  <si>
    <t>Q20_R0025_DIEN_BIEN</t>
  </si>
  <si>
    <t>Q20_R0025_Du_lich</t>
  </si>
  <si>
    <t>Q20_R0025_HOA_BINH</t>
  </si>
  <si>
    <t>Q20_R0025_KHANH_HOI</t>
  </si>
  <si>
    <t>Q20_R0025_MARLBORO_LIGHT</t>
  </si>
  <si>
    <t>Q20_R0025_MARLBORO_BAC_HA</t>
  </si>
  <si>
    <t>Q20_R0025_MILD_7</t>
  </si>
  <si>
    <t>Q20_R0025_MILD_7_LIGHT</t>
  </si>
  <si>
    <t>Q20_R0025_NHA_TRANG</t>
  </si>
  <si>
    <t>Q20_R0025_SEVEN_DIAMOND</t>
  </si>
  <si>
    <t>Q20_R0025_THANG_LONG</t>
  </si>
  <si>
    <t>Q20_R0025_TRI_AN</t>
  </si>
  <si>
    <t>Q20_R0025_WEST_DO</t>
  </si>
  <si>
    <t>Q20_R0025_WEST_XANH</t>
  </si>
  <si>
    <t>Q20_R0025_WHITE_HORSE</t>
  </si>
  <si>
    <t>Q20_R0025_WINSTON_DO</t>
  </si>
  <si>
    <t>Q20_R0025_WINSTON_XANH</t>
  </si>
  <si>
    <t>Q20_R0025_ESSE_GOLD</t>
  </si>
  <si>
    <t>Q20_R0025_DA_LAT</t>
  </si>
  <si>
    <t>Q20_R0025_MARLBORO_GOLD</t>
  </si>
  <si>
    <t>Q20_R0025_555_MAU_XANH</t>
  </si>
  <si>
    <t>Q20_R0025_JUNE_SLIM</t>
  </si>
  <si>
    <t>Q20_R0025_ESSE_SPECIAL_GOLD</t>
  </si>
  <si>
    <t>Q20_R0026_BASTOS_DO</t>
  </si>
  <si>
    <t>Q20_R0026_BASTOS_XANH</t>
  </si>
  <si>
    <t>Q20_R0026_CON_MEO</t>
  </si>
  <si>
    <t>Q20_R0026_CON_MEO_DEN</t>
  </si>
  <si>
    <t>Q20_R0026_CON_MEO_BAC_HA</t>
  </si>
  <si>
    <t>Q20_R0026_DIEN_BIEN</t>
  </si>
  <si>
    <t>Q20_R0026_Du_lich</t>
  </si>
  <si>
    <t>Q20_R0026_HOA_BINH</t>
  </si>
  <si>
    <t>Q20_R0026_KHANH_HOI</t>
  </si>
  <si>
    <t>Q20_R0026_MARLBORO_LIGHT</t>
  </si>
  <si>
    <t>Q20_R0026_MARLBORO_BAC_HA</t>
  </si>
  <si>
    <t>Q20_R0026_MILD_7</t>
  </si>
  <si>
    <t>Q20_R0026_MILD_7_LIGHT</t>
  </si>
  <si>
    <t>Q20_R0026_NHA_TRANG</t>
  </si>
  <si>
    <t>Q20_R0026_SEVEN_DIAMOND</t>
  </si>
  <si>
    <t>Q20_R0026_THANG_LONG</t>
  </si>
  <si>
    <t>Q20_R0026_TRI_AN</t>
  </si>
  <si>
    <t>Q20_R0026_WEST_DO</t>
  </si>
  <si>
    <t>Q20_R0026_WEST_XANH</t>
  </si>
  <si>
    <t>Q20_R0026_WHITE_HORSE</t>
  </si>
  <si>
    <t>Q20_R0026_WINSTON_DO</t>
  </si>
  <si>
    <t>Q20_R0026_WINSTON_XANH</t>
  </si>
  <si>
    <t>Q20_R0026_ESSE_GOLD</t>
  </si>
  <si>
    <t>Q20_R0026_DA_LAT</t>
  </si>
  <si>
    <t>Q20_R0026_MARLBORO_GOLD</t>
  </si>
  <si>
    <t>Q20_R0026_555_MAU_XANH</t>
  </si>
  <si>
    <t>Q20_R0026_JUNE_SLIM</t>
  </si>
  <si>
    <t>Q20_R0026_ESSE_SPECIAL_GOLD</t>
  </si>
  <si>
    <t>Q20_R0027_BASTOS_DO</t>
  </si>
  <si>
    <t>Q20_R0027_BASTOS_XANH</t>
  </si>
  <si>
    <t>Q20_R0027_CON_MEO</t>
  </si>
  <si>
    <t>Q20_R0027_CON_MEO_DEN</t>
  </si>
  <si>
    <t>Q20_R0027_CON_MEO_BAC_HA</t>
  </si>
  <si>
    <t>Q20_R0027_DIEN_BIEN</t>
  </si>
  <si>
    <t>Q20_R0027_Du_lich</t>
  </si>
  <si>
    <t>Q20_R0027_HOA_BINH</t>
  </si>
  <si>
    <t>Q20_R0027_KHANH_HOI</t>
  </si>
  <si>
    <t>Q20_R0027_MARLBORO_LIGHT</t>
  </si>
  <si>
    <t>Q20_R0027_MARLBORO_BAC_HA</t>
  </si>
  <si>
    <t>Q20_R0027_MILD_7</t>
  </si>
  <si>
    <t>Q20_R0027_MILD_7_LIGHT</t>
  </si>
  <si>
    <t>Q20_R0027_NHA_TRANG</t>
  </si>
  <si>
    <t>Q20_R0027_SEVEN_DIAMOND</t>
  </si>
  <si>
    <t>Q20_R0027_THANG_LONG</t>
  </si>
  <si>
    <t>Q20_R0027_TRI_AN</t>
  </si>
  <si>
    <t>Q20_R0027_WEST_DO</t>
  </si>
  <si>
    <t>Q20_R0027_WEST_XANH</t>
  </si>
  <si>
    <t>Q20_R0027_WHITE_HORSE</t>
  </si>
  <si>
    <t>Q20_R0027_WINSTON_DO</t>
  </si>
  <si>
    <t>Q20_R0027_WINSTON_XANH</t>
  </si>
  <si>
    <t>Q20_R0027_ESSE_GOLD</t>
  </si>
  <si>
    <t>Q20_R0027_DA_LAT</t>
  </si>
  <si>
    <t>Q20_R0027_MARLBORO_GOLD</t>
  </si>
  <si>
    <t>Q20_R0027_555_MAU_XANH</t>
  </si>
  <si>
    <t>Q20_R0027_JUNE_SLIM</t>
  </si>
  <si>
    <t>Q20_R0027_ESSE_SPECIAL_GOLD</t>
  </si>
  <si>
    <t>Q20_R0028_BASTOS_DO</t>
  </si>
  <si>
    <t>Q20_R0028_BASTOS_XANH</t>
  </si>
  <si>
    <t>Q20_R0028_CON_MEO</t>
  </si>
  <si>
    <t>Q20_R0028_CON_MEO_DEN</t>
  </si>
  <si>
    <t>Q20_R0028_CON_MEO_BAC_HA</t>
  </si>
  <si>
    <t>Q20_R0028_DIEN_BIEN</t>
  </si>
  <si>
    <t>Q20_R0028_Du_lich</t>
  </si>
  <si>
    <t>Q20_R0028_HOA_BINH</t>
  </si>
  <si>
    <t>Q20_R0028_KHANH_HOI</t>
  </si>
  <si>
    <t>Q20_R0028_MARLBORO_LIGHT</t>
  </si>
  <si>
    <t>Q20_R0028_MARLBORO_BAC_HA</t>
  </si>
  <si>
    <t>Q20_R0028_MILD_7</t>
  </si>
  <si>
    <t>Q20_R0028_MILD_7_LIGHT</t>
  </si>
  <si>
    <t>Q20_R0028_NHA_TRANG</t>
  </si>
  <si>
    <t>Q20_R0028_SEVEN_DIAMOND</t>
  </si>
  <si>
    <t>Q20_R0028_THANG_LONG</t>
  </si>
  <si>
    <t>Q20_R0028_TRI_AN</t>
  </si>
  <si>
    <t>Q20_R0028_WEST_DO</t>
  </si>
  <si>
    <t>Q20_R0028_WEST_XANH</t>
  </si>
  <si>
    <t>Q20_R0028_WHITE_HORSE</t>
  </si>
  <si>
    <t>Q20_R0028_WINSTON_DO</t>
  </si>
  <si>
    <t>Q20_R0028_WINSTON_XANH</t>
  </si>
  <si>
    <t>Q20_R0028_ESSE_GOLD</t>
  </si>
  <si>
    <t>Q20_R0028_DA_LAT</t>
  </si>
  <si>
    <t>Q20_R0028_MARLBORO_GOLD</t>
  </si>
  <si>
    <t>Q20_R0028_555_MAU_XANH</t>
  </si>
  <si>
    <t>Q20_R0028_JUNE_SLIM</t>
  </si>
  <si>
    <t>Q20_R0028_ESSE_SPECIAL_GOLD</t>
  </si>
  <si>
    <t>Q1b_555_LOAI_NHE_LIGHT</t>
  </si>
  <si>
    <t>Q1c_555_LOAI_NHE_LIGHT</t>
  </si>
  <si>
    <t>Q2a_555_LOAI_NHE_LIGHT</t>
  </si>
  <si>
    <t>Q2d_555_LOAI_NHE_LIGHT</t>
  </si>
  <si>
    <t>Q19_555_LOAI_NHE_LIGHT</t>
  </si>
  <si>
    <t>Q20_R0001_555_LOAI_NHE_LIGHT</t>
  </si>
  <si>
    <t>Q20_R0002_555_LOAI_NHE_LIGHT</t>
  </si>
  <si>
    <t>Q20_R0003_555_LOAI_NHE_LIGHT</t>
  </si>
  <si>
    <t>Q20_R0004_555_LOAI_NHE_LIGHT</t>
  </si>
  <si>
    <t>Q20_R0005_555_LOAI_NHE_LIGHT</t>
  </si>
  <si>
    <t>Q20_R0006_555_LOAI_NHE_LIGHT</t>
  </si>
  <si>
    <t>Q20_R0007_555_LOAI_NHE_LIGHT</t>
  </si>
  <si>
    <t>Q20_R0008_555_LOAI_NHE_LIGHT</t>
  </si>
  <si>
    <t>Q20_R0009_555_LOAI_NHE_LIGHT</t>
  </si>
  <si>
    <t>Q20_R0010_555_LOAI_NHE_LIGHT</t>
  </si>
  <si>
    <t>Q20_R0011_555_LOAI_NHE_LIGHT</t>
  </si>
  <si>
    <t>Q20_R0012_555_LOAI_NHE_LIGHT</t>
  </si>
  <si>
    <t>Q20_R0013_555_LOAI_NHE_LIGHT</t>
  </si>
  <si>
    <t>Q20_R0014_555_LOAI_NHE_LIGHT</t>
  </si>
  <si>
    <t>Q20_R0015_555_LOAI_NHE_LIGHT</t>
  </si>
  <si>
    <t>Q20_R0016_555_LOAI_NHE_LIGHT</t>
  </si>
  <si>
    <t>Q20_R0017_555_LOAI_NHE_LIGHT</t>
  </si>
  <si>
    <t>Q20_R0018_555_LOAI_NHE_LIGHT</t>
  </si>
  <si>
    <t>Q20_R0019_555_LOAI_NHE_LIGHT</t>
  </si>
  <si>
    <t>Q20_R0020_555_LOAI_NHE_LIGHT</t>
  </si>
  <si>
    <t>Q20_R0021_555_LOAI_NHE_LIGHT</t>
  </si>
  <si>
    <t>Q20_R0022_555_LOAI_NHE_LIGHT</t>
  </si>
  <si>
    <t>Q20_R0023_555_LOAI_NHE_LIGHT</t>
  </si>
  <si>
    <t>Q20_R0024_555_LOAI_NHE_LIGHT</t>
  </si>
  <si>
    <t>Q20_R0025_555_LOAI_NHE_LIGHT</t>
  </si>
  <si>
    <t>Q20_R0026_555_LOAI_NHE_LIGHT</t>
  </si>
  <si>
    <t>Q20_R0027_555_LOAI_NHE_LIGHT</t>
  </si>
  <si>
    <t>Q20_R0028_555_LOAI_NHE_LIGHT</t>
  </si>
  <si>
    <t>Q13a_NH_trong_nuoc_NH_Viet_Nam</t>
  </si>
  <si>
    <t>Q13a_It_bi_nhai_lam_gia</t>
  </si>
  <si>
    <t>Q16a_Cafe_quan_nuoc</t>
  </si>
  <si>
    <t>Q16a_Disco_hop_dem_Karaoke_Bar</t>
  </si>
  <si>
    <t>Q16a_Nha_hang_Khach_san</t>
  </si>
  <si>
    <t>Q16a_Sieu_thi_Metro</t>
  </si>
  <si>
    <t>Q17a_Ban_be_nguoi_than</t>
  </si>
  <si>
    <t>Q13a_Co_bao_bi_dep_hap_dan</t>
  </si>
  <si>
    <t>Q13a_Bao_bi_tre_trung_nang_dong</t>
  </si>
  <si>
    <t>Q13a_Bao_bi_cao_cap_sang_trong</t>
  </si>
  <si>
    <t>Q13a_Ban_rong_rai_de_mua</t>
  </si>
  <si>
    <t>Q8a_Muon_chuyen_sang_thuoc_nang_</t>
  </si>
  <si>
    <t>Q8a_Muon_chuyen_sang_thuoc_it_bi</t>
  </si>
  <si>
    <t>Q8a_Chat_luong_thuoc_bi_thay_doi</t>
  </si>
  <si>
    <t>Q8a_Muon_hut_loai_thuoc_co_bao_b</t>
  </si>
  <si>
    <t>Q8a_Mui_vi_giong_nhau_nhung_gia_</t>
  </si>
  <si>
    <t>Q8a_Muon_chuyen_sang_nhan_hieu_r</t>
  </si>
  <si>
    <t>Q8a_Thuoc_tang_gia_nen_chuyen_sa</t>
  </si>
  <si>
    <t>Q8a_Nhan_hieu_moi_co_the_chung_t</t>
  </si>
  <si>
    <t>Q8a_Nhan_hieu_moi_la_nhan_hieu_c</t>
  </si>
  <si>
    <t>Q8a_Ban_be_nguoi_than_cua_toi_hu</t>
  </si>
  <si>
    <t>Q8a_Nhung_nguoi_bannhan_vien_tie</t>
  </si>
  <si>
    <t>Q8a_Hut_nhan_hieu_moi_nay_cho_gi</t>
  </si>
  <si>
    <t>Q8b_Muon_chuyen_sang_thuoc_nang_</t>
  </si>
  <si>
    <t>Q8b_Muon_chuyen_sang_thuoc_it_bi</t>
  </si>
  <si>
    <t>Q8b_Chat_luong_thuoc_bi_thay_doi</t>
  </si>
  <si>
    <t>Q8b_Muon_hut_loai_thuoc_co_bao_b</t>
  </si>
  <si>
    <t>Q8b_Mui_vi_giong_nhau_nhung_gia_</t>
  </si>
  <si>
    <t>Q8b_Muon_chuyen_sang_nhan_hieu_r</t>
  </si>
  <si>
    <t>Q8b_Thuoc_tang_gia_nen_chuyen_sa</t>
  </si>
  <si>
    <t>Q8b_Nhan_hieu_moi_co_the_chung_t</t>
  </si>
  <si>
    <t>Q8b_Nhan_hieu_moi_la_nhan_hieu_c</t>
  </si>
  <si>
    <t>Q8b_Ban_be_nguoi_than_cua_toi_hu</t>
  </si>
  <si>
    <t>Q8b_Nhung_nguoi_bannhan_vien_tie</t>
  </si>
  <si>
    <t>Q8b_Hut_nhan_hieu_moi_nay_cho_gi</t>
  </si>
  <si>
    <t>Q13a_Nhan_hieu_giup_toi_the_hien</t>
  </si>
  <si>
    <t>Q13a_Danh_cho_nguoi_thanh_dat_do</t>
  </si>
  <si>
    <t>Q13a_Danh_cho_nguoi_thu_nhap_tru</t>
  </si>
  <si>
    <t>Q13a_Dam_da_do_nang_vua_du_em_va</t>
  </si>
  <si>
    <t>Q13a_Bao_bi_bat_mat_noi_bat_de_n</t>
  </si>
  <si>
    <t>Q13a_Co_nhieu_quang_cao_khuyen_m</t>
  </si>
  <si>
    <t>Q16a_Khu_giai_tri_vd_tro_choi_bi</t>
  </si>
  <si>
    <t>Q16a_Cho_ngoai_troi_sap_ban_hang</t>
  </si>
  <si>
    <t>Q16a_Tram_dich_vu_xe_gan_may_rua</t>
  </si>
  <si>
    <t>Q17a_Vat_dung_quang_cao_tai_xe_t</t>
  </si>
  <si>
    <t>Q17a_Chuoi_trung_bay_qua_quan_ca</t>
  </si>
  <si>
    <t>Q17a_Nhan_vien_tiep_thi_gioi_thi</t>
  </si>
  <si>
    <t>Q18a_Tang_so_luong_gia_khong_doi</t>
  </si>
  <si>
    <t>Q18a_Xo_so_may_man_de_thang_giai</t>
  </si>
  <si>
    <t>Q18a_Mo_va_lay_duoc_mot_giai_thu</t>
  </si>
  <si>
    <t>Q18a_Thu_thap_bao_thuoc_la_va_do</t>
  </si>
  <si>
    <t>Danh sách SP</t>
  </si>
  <si>
    <t>KEEP</t>
  </si>
  <si>
    <t>Danh sách câu</t>
  </si>
  <si>
    <t>Loại câu</t>
  </si>
  <si>
    <t>a</t>
  </si>
  <si>
    <t>s</t>
  </si>
  <si>
    <t>d</t>
  </si>
  <si>
    <t>Syntax Restruction</t>
  </si>
  <si>
    <t xml:space="preserve"> /MAKE </t>
  </si>
  <si>
    <t xml:space="preserve"> FROM </t>
  </si>
  <si>
    <t xml:space="preserve"> /NULL = KEEP.</t>
  </si>
  <si>
    <t>"</t>
  </si>
  <si>
    <t>".</t>
  </si>
  <si>
    <t>Gioitinh</t>
  </si>
  <si>
    <t>(MA)</t>
  </si>
  <si>
    <t>(SA)</t>
  </si>
  <si>
    <t>Variable SPSS</t>
  </si>
  <si>
    <t>1=1</t>
  </si>
  <si>
    <t>2=2</t>
  </si>
  <si>
    <t>3=3</t>
  </si>
  <si>
    <t>4=2</t>
  </si>
  <si>
    <t>5=1</t>
  </si>
  <si>
    <t>Loại 1 (Just right)</t>
  </si>
  <si>
    <t>Loại 2 (Ngược scale)</t>
  </si>
  <si>
    <t>1=5</t>
  </si>
  <si>
    <t>2=4</t>
  </si>
  <si>
    <t>Loại 3 (Top 2 boxes)</t>
  </si>
  <si>
    <t>1=0</t>
  </si>
  <si>
    <t>2=0</t>
  </si>
  <si>
    <t>3=0</t>
  </si>
  <si>
    <t>4=1</t>
  </si>
  <si>
    <t>Loại 4 (Top 3 boxes)</t>
  </si>
  <si>
    <t>3=1</t>
  </si>
  <si>
    <t>Loại 5 (Customs)</t>
  </si>
  <si>
    <t>Loại Recode</t>
  </si>
  <si>
    <t>Syntax Recode</t>
  </si>
  <si>
    <t>Nhận biết đầu tiên</t>
  </si>
  <si>
    <t>Nhận biết không gợi ý</t>
  </si>
  <si>
    <t>Nhận biết có gợi ý</t>
  </si>
  <si>
    <t>Sử dụng thường xuyên nhất</t>
  </si>
  <si>
    <t>Đang dùng</t>
  </si>
  <si>
    <t>Dùng trong 6 tháng qua</t>
  </si>
  <si>
    <t>Nhận biết</t>
  </si>
  <si>
    <t>Sử dụng</t>
  </si>
  <si>
    <t>Giới thiệu</t>
  </si>
  <si>
    <t>Giới thiệu người khác</t>
  </si>
  <si>
    <t>Syntax</t>
  </si>
  <si>
    <t>COMPUTE</t>
  </si>
  <si>
    <t>Aware=0.</t>
  </si>
  <si>
    <t>EXECUTE.</t>
  </si>
  <si>
    <t>Usage=0.</t>
  </si>
  <si>
    <t>Recom=0.</t>
  </si>
  <si>
    <t>A3a</t>
  </si>
  <si>
    <t>A3b</t>
  </si>
  <si>
    <t>A3c</t>
  </si>
  <si>
    <t>A4</t>
  </si>
  <si>
    <t>if(A4=1) Recom = 1.</t>
  </si>
  <si>
    <t>if(A3a=1) Usage = 1.</t>
  </si>
  <si>
    <t>if(A3b=1) Usage = 2.</t>
  </si>
  <si>
    <t>if(A3c=1) Usage = 3.</t>
  </si>
  <si>
    <t>If (Aware=</t>
  </si>
  <si>
    <t>) BSc =</t>
  </si>
  <si>
    <t>.</t>
  </si>
  <si>
    <t>and Usage =</t>
  </si>
  <si>
    <t>and Recom =</t>
  </si>
  <si>
    <t>A1a</t>
  </si>
  <si>
    <t>if(A1a=1) Aware = 3.</t>
  </si>
  <si>
    <t>A1b</t>
  </si>
  <si>
    <t>A1c</t>
  </si>
  <si>
    <t>if(A1c=1) Aware = 1.</t>
  </si>
  <si>
    <t>if(A1b=1) Aware = 2.</t>
  </si>
  <si>
    <t>Scale điểm</t>
  </si>
  <si>
    <t>(1: 1/0, 2: Scale 5)</t>
  </si>
  <si>
    <t>Nhóm</t>
  </si>
  <si>
    <t>Giaca</t>
  </si>
  <si>
    <t>Nhanhieu</t>
  </si>
  <si>
    <t>Baobi</t>
  </si>
  <si>
    <t>Phanphoi</t>
  </si>
  <si>
    <t>Khachang</t>
  </si>
  <si>
    <t>REGRESSION</t>
  </si>
  <si>
    <t xml:space="preserve">  /MISSING LISTWISE</t>
  </si>
  <si>
    <t xml:space="preserve">  /STATISTICS COEFF OUTS R ANOVA COLLIN TOL ZPP</t>
  </si>
  <si>
    <t xml:space="preserve">  /CRITERIA=PIN(.05) POUT(.10)</t>
  </si>
  <si>
    <t xml:space="preserve">  /NOORIGIN </t>
  </si>
  <si>
    <t xml:space="preserve">  /DEPENDENT Usage</t>
  </si>
  <si>
    <t xml:space="preserve">  /METHOD=ENTER  Giaca Baobi Nhanhieu Phanphoi Khachang .</t>
  </si>
  <si>
    <t>COMPUTE Giaca=Mean(a,s)*100.</t>
  </si>
  <si>
    <t>COMPUTE Baobi=Mean(s,d)*100.</t>
  </si>
  <si>
    <t>COMPUTE Nhanhieu=Mean(s,d)*100.</t>
  </si>
  <si>
    <t>COMPUTE Phanphoi=Mean(d,d)*100.</t>
  </si>
  <si>
    <t>COMPUTE Khachang=Mean(d,d)*100.</t>
  </si>
  <si>
    <t>Regression Nhóm</t>
  </si>
  <si>
    <t>COMPUTE BP=BSc*100/21.</t>
  </si>
  <si>
    <t>COMPUTE BE=0.8* BP + 0.2*BI</t>
  </si>
  <si>
    <t>COMPUTE BI= 1.3*Giaca+ 1.4*Baobi+ 2.4*Nhanhieu+ 3.4*Phanphoi+ 4.4*Khachang.</t>
  </si>
  <si>
    <t>Tự đề xuất số factor</t>
  </si>
  <si>
    <t>Variable Factor</t>
  </si>
  <si>
    <t>Số factor nhỏ nhất máy đề xuất</t>
  </si>
  <si>
    <t>Syntax Factor</t>
  </si>
  <si>
    <t>FACTOR</t>
  </si>
  <si>
    <t xml:space="preserve">  /MISSING LISTWISE </t>
  </si>
  <si>
    <t xml:space="preserve">  /PRINT INITIAL EXTRACTION ROTATION FSCORE</t>
  </si>
  <si>
    <t xml:space="preserve">  /FORMAT SORT BLANK(.35)</t>
  </si>
  <si>
    <t xml:space="preserve">  /PLOT EIGEN ROTATION</t>
  </si>
  <si>
    <t xml:space="preserve">  /CRITERIA FACTORS(2) ITERATE(25)</t>
  </si>
  <si>
    <t xml:space="preserve">  /EXTRACTION PC</t>
  </si>
  <si>
    <t xml:space="preserve">  /CRITERIA ITERATE(25)</t>
  </si>
  <si>
    <t xml:space="preserve">  /ROTATION VARIMAX"</t>
  </si>
  <si>
    <t xml:space="preserve">  /SAVE REG(ALL)</t>
  </si>
  <si>
    <t xml:space="preserve">  /METHOD=CORRELATION.</t>
  </si>
  <si>
    <t xml:space="preserve">  /VARIABLES  Q1b_555 Q1b_555_LOAI_NHE_LIGHT Q1b_BASTION Q1b_BASTOS Q1b_BASTOS_DO Q1b_BASTOS_XANH Q1b_BOSS Q1b_CON_MEO Q1b_CON_MEO_DEN Q1b_CON_MEO_BAC_HA Q1b_COTAB Q1b_DIEN_BIEN Q1b_DONATABA</t>
  </si>
  <si>
    <t xml:space="preserve">  /ANALYSIS  Q1b_555 Q1b_555_LOAI_NHE_LIGHT Q1b_BASTION Q1b_BASTOS Q1b_BASTOS_DO Q1b_BASTOS_XANH Q1b_BOSS Q1b_CON_MEO Q1b_CON_MEO_DEN Q1b_CON_MEO_BAC_HA Q1b_COTAB Q1b_DIEN_BIEN Q1b_DONATABA</t>
  </si>
  <si>
    <t>ID</t>
  </si>
  <si>
    <t>RECODE</t>
  </si>
  <si>
    <t>EXECUTE .</t>
  </si>
  <si>
    <t xml:space="preserve"> Khu_vuc (1=1) (2=2) (3=3) (4=2) (5=1).</t>
  </si>
  <si>
    <t xml:space="preserve"> TLKT (1=5) (2=4) (3=3) (4=2) (5=1).</t>
  </si>
  <si>
    <t>Q20 Nhan hieu phu hop - R0001</t>
  </si>
  <si>
    <t>Q20 Nhan hieu phu hop - R0002</t>
  </si>
  <si>
    <t>Q20 Nhan hieu phu hop - R0003</t>
  </si>
  <si>
    <t>Q20 Nhan hieu phu hop - R0004</t>
  </si>
  <si>
    <t>Q20 Nhan hieu phu hop - R0005</t>
  </si>
  <si>
    <t>Q20 Nhan hieu phu hop - R0006</t>
  </si>
  <si>
    <t>Q20 Nhan hieu phu hop - R0007</t>
  </si>
  <si>
    <t>Q20 Nhan hieu phu hop - R0008</t>
  </si>
  <si>
    <t>Q20 Nhan hieu phu hop - R0009</t>
  </si>
  <si>
    <t>Q20 Nhan hieu phu hop - R0010</t>
  </si>
  <si>
    <t>Q20 Nhan hieu phu hop - R0011</t>
  </si>
  <si>
    <t>Q20 Nhan hieu phu hop - R0012</t>
  </si>
  <si>
    <t>Q20 Nhan hieu phu hop - R0013</t>
  </si>
  <si>
    <t>Q20 Nhan hieu phu hop - R0014</t>
  </si>
  <si>
    <t>Q20 Nhan hieu phu hop - R0015</t>
  </si>
  <si>
    <t>Q20 Nhan hieu phu hop - R0016</t>
  </si>
  <si>
    <t>Q20 Nhan hieu phu hop - R0017</t>
  </si>
  <si>
    <t>Q20 Nhan hieu phu hop - R0018</t>
  </si>
  <si>
    <t>Q20 Nhan hieu phu hop - R0019</t>
  </si>
  <si>
    <t>Q20 Nhan hieu phu hop - R0020</t>
  </si>
  <si>
    <t>Q20 Nhan hieu phu hop - R0021</t>
  </si>
  <si>
    <t>Q20 Nhan hieu phu hop - R0022</t>
  </si>
  <si>
    <t>Q20 Nhan hieu phu hop - R0023</t>
  </si>
  <si>
    <t>Q20 Nhan hieu phu hop - R0024</t>
  </si>
  <si>
    <t>Q20 Nhan hieu phu hop - R0025</t>
  </si>
  <si>
    <t>Q20 Nhan hieu phu hop - R0026</t>
  </si>
  <si>
    <t>Q20 Nhan hieu phu hop - R0027</t>
  </si>
  <si>
    <t>Q20 Nhan hieu phu hop - R0028</t>
  </si>
  <si>
    <t>Q20 Nhan hieu phu hop - R0029</t>
  </si>
  <si>
    <t>Q20 Nhan hieu phu hop - R0030</t>
  </si>
  <si>
    <t>Q20 Nhan hieu phu hop - R0031</t>
  </si>
  <si>
    <t>Q34 Nhan dinh - R0001</t>
  </si>
  <si>
    <t>Q34 Nhan dinh - R0002</t>
  </si>
  <si>
    <t>Q34 Nhan dinh - R0003</t>
  </si>
  <si>
    <t>Q34 Nhan dinh - R0004</t>
  </si>
  <si>
    <t>Q34 Nhan dinh - R0005</t>
  </si>
  <si>
    <t>Q34 Nhan dinh - R0006</t>
  </si>
  <si>
    <t>Q34 Nhan dinh - R0007</t>
  </si>
  <si>
    <t>Q34 Nhan dinh - R0008</t>
  </si>
  <si>
    <t>Q34 Nhan dinh - R0009</t>
  </si>
  <si>
    <t>Q34 Nhan dinh - R0010</t>
  </si>
  <si>
    <t>Q34 Nhan dinh - R0011</t>
  </si>
  <si>
    <t>Q34 Nhan dinh - R0012</t>
  </si>
  <si>
    <t>Q34 Nhan dinh - R0013</t>
  </si>
  <si>
    <t>Q34 Nhan dinh - R0014</t>
  </si>
  <si>
    <t>Q35a Nhan dinh</t>
  </si>
  <si>
    <t>Q36 Muc do dong y - R0001</t>
  </si>
  <si>
    <t>Q36 Muc do dong y - R0002</t>
  </si>
  <si>
    <t>Q36 Muc do dong y - R0003</t>
  </si>
  <si>
    <t>Q36 Muc do dong y - R0004</t>
  </si>
  <si>
    <t>Q36 Muc do dong y - R0005</t>
  </si>
  <si>
    <t>Q36 Muc do dong y - R0006</t>
  </si>
  <si>
    <t>Q36 Muc do dong y - R0007</t>
  </si>
  <si>
    <t>Q36 Muc do dong y - R0008</t>
  </si>
  <si>
    <t>Q36 Muc do dong y - R0009</t>
  </si>
  <si>
    <t>Q36 Muc do dong y - R0010</t>
  </si>
  <si>
    <t/>
  </si>
  <si>
    <t>13) Diem Tran - 0001 - Hai ben</t>
  </si>
  <si>
    <t>13) Diem Tran - 0001 - Phia sau</t>
  </si>
  <si>
    <t>13) Diem Tran - 0001 - Phia truoc</t>
  </si>
  <si>
    <t>13) Diem Tran - 0002 - Hai ben</t>
  </si>
  <si>
    <t>13) Diem Tran - 0002 - Phia sau</t>
  </si>
  <si>
    <t>13) Diem Tran - 0002 - Phia truoc</t>
  </si>
  <si>
    <t>13) Diem Tran - 0003 - Hai ben</t>
  </si>
  <si>
    <t>13) Diem Tran - 0003 - Phia sau</t>
  </si>
  <si>
    <t>13) Diem Tran - 0003 - Phia truoc</t>
  </si>
  <si>
    <t>13) Diem Tran - 0004 - Hai ben</t>
  </si>
  <si>
    <t>13) Diem Tran - 0004 - Phia sau</t>
  </si>
  <si>
    <t>13) Diem Tran - 0004 - Phia truoc</t>
  </si>
  <si>
    <t>13) Diem Tran - 0005 - Hai ben</t>
  </si>
  <si>
    <t>13) Diem Tran - 0005 - Phia sau</t>
  </si>
  <si>
    <t>13) Diem Tran - 0005 - Phia truoc</t>
  </si>
  <si>
    <t>13) Diem Tran - 0006 - Hai ben</t>
  </si>
  <si>
    <t>13) Diem Tran - 0006 - Phia sau</t>
  </si>
  <si>
    <t>13) Diem Tran - 0006 - Phia truoc</t>
  </si>
  <si>
    <t>13) Diem Tran - 0007 - Hai ben</t>
  </si>
  <si>
    <t>13) Diem Tran - 0007 - Phia sau</t>
  </si>
  <si>
    <t>13) Diem Tran - 0007 - Phia truoc</t>
  </si>
  <si>
    <t>13) Diem Tran - 0008 - Hai ben</t>
  </si>
  <si>
    <t>13) Diem Tran - 0008 - Phia sau</t>
  </si>
  <si>
    <t>13) Diem Tran - 0008 - Phia truoc</t>
  </si>
  <si>
    <t>13) Diem Tran - 0009 - Hai ben</t>
  </si>
  <si>
    <t>13) Diem Tran - 0009 - Phia sau</t>
  </si>
  <si>
    <t>13) Diem Tran - 0009 - Phia truoc</t>
  </si>
  <si>
    <t>13) Diem Tran - 0010 - Hai ben</t>
  </si>
  <si>
    <t>13) Diem Tran - 0010 - Phia sau</t>
  </si>
  <si>
    <t>13) Diem Tran - 0010 - Phia truoc</t>
  </si>
  <si>
    <t>13) Diem Tran - 0011 - Hai ben</t>
  </si>
  <si>
    <t>13) Diem Tran - 0011 - Phia sau</t>
  </si>
  <si>
    <t>13) Diem Tran - 0011 - Phia truoc</t>
  </si>
  <si>
    <t>13) Diem Tran - 0012 - Hai ben</t>
  </si>
  <si>
    <t>13) Diem Tran - 0012 - Phia sau</t>
  </si>
  <si>
    <t>13) Diem Tran - 0012 - Phia truoc</t>
  </si>
  <si>
    <t>14) Nguyen nhan gay tran - 0001 - 0001</t>
  </si>
  <si>
    <t>14) Nguyen nhan gay tran - 0001 - 0002</t>
  </si>
  <si>
    <t>14) Nguyen nhan gay tran - 0001 - 0003</t>
  </si>
  <si>
    <t>14) Nguyen nhan gay tran - 0001 - 0004</t>
  </si>
  <si>
    <t>14) Nguyen nhan gay tran - 0001 - 0005</t>
  </si>
  <si>
    <t>14) Nguyen nhan gay tran - 0001 - 0006</t>
  </si>
  <si>
    <t>14) Nguyen nhan gay tran - 0001 - Khac</t>
  </si>
  <si>
    <t>14) Nguyen nhan gay tran - 0002 - 0001</t>
  </si>
  <si>
    <t>14) Nguyen nhan gay tran - 0002 - 0002</t>
  </si>
  <si>
    <t>14) Nguyen nhan gay tran - 0002 - 0003</t>
  </si>
  <si>
    <t>14) Nguyen nhan gay tran - 0002 - 0004</t>
  </si>
  <si>
    <t>14) Nguyen nhan gay tran - 0002 - 0005</t>
  </si>
  <si>
    <t>14) Nguyen nhan gay tran - 0002 - 0006</t>
  </si>
  <si>
    <t>14) Nguyen nhan gay tran - 0002 - Khac</t>
  </si>
  <si>
    <t>14) Nguyen nhan gay tran - 0003 - 0001</t>
  </si>
  <si>
    <t>14) Nguyen nhan gay tran - 0003 - 0002</t>
  </si>
  <si>
    <t>14) Nguyen nhan gay tran - 0003 - 0003</t>
  </si>
  <si>
    <t>14) Nguyen nhan gay tran - 0003 - 0004</t>
  </si>
  <si>
    <t>14) Nguyen nhan gay tran - 0003 - 0005</t>
  </si>
  <si>
    <t>14) Nguyen nhan gay tran - 0003 - 0006</t>
  </si>
  <si>
    <t>14) Nguyen nhan gay tran - 0003 - Khac</t>
  </si>
  <si>
    <t>14) Nguyen nhan gay tran - 0004 - 0001</t>
  </si>
  <si>
    <t>14) Nguyen nhan gay tran - 0004 - 0002</t>
  </si>
  <si>
    <t>14) Nguyen nhan gay tran - 0004 - 0003</t>
  </si>
  <si>
    <t>14) Nguyen nhan gay tran - 0004 - 0004</t>
  </si>
  <si>
    <t>14) Nguyen nhan gay tran - 0004 - 0005</t>
  </si>
  <si>
    <t>14) Nguyen nhan gay tran - 0004 - 0006</t>
  </si>
  <si>
    <t>14) Nguyen nhan gay tran - 0004 - Khac</t>
  </si>
  <si>
    <t>14) Nguyen nhan gay tran - 0005 - 0001</t>
  </si>
  <si>
    <t>14) Nguyen nhan gay tran - 0005 - 0002</t>
  </si>
  <si>
    <t>14) Nguyen nhan gay tran - 0005 - 0003</t>
  </si>
  <si>
    <t>14) Nguyen nhan gay tran - 0005 - 0004</t>
  </si>
  <si>
    <t>14) Nguyen nhan gay tran - 0005 - 0005</t>
  </si>
  <si>
    <t>14) Nguyen nhan gay tran - 0005 - 0006</t>
  </si>
  <si>
    <t>14) Nguyen nhan gay tran - 0005 - Khac</t>
  </si>
  <si>
    <t>14) Nguyen nhan gay tran - 0006 - 0001</t>
  </si>
  <si>
    <t>14) Nguyen nhan gay tran - 0006 - 0002</t>
  </si>
  <si>
    <t>14) Nguyen nhan gay tran - 0006 - 0003</t>
  </si>
  <si>
    <t>14) Nguyen nhan gay tran - 0006 - 0004</t>
  </si>
  <si>
    <t>14) Nguyen nhan gay tran - 0006 - 0005</t>
  </si>
  <si>
    <t>14) Nguyen nhan gay tran - 0006 - 0006</t>
  </si>
  <si>
    <t>14) Nguyen nhan gay tran - 0006 - Khac</t>
  </si>
  <si>
    <t>14) Nguyen nhan gay tran - 0007 - 0001</t>
  </si>
  <si>
    <t>14) Nguyen nhan gay tran - 0007 - 0002</t>
  </si>
  <si>
    <t>14) Nguyen nhan gay tran - 0007 - 0003</t>
  </si>
  <si>
    <t>14) Nguyen nhan gay tran - 0007 - 0004</t>
  </si>
  <si>
    <t>14) Nguyen nhan gay tran - 0007 - 0005</t>
  </si>
  <si>
    <t>14) Nguyen nhan gay tran - 0007 - 0006</t>
  </si>
  <si>
    <t>14) Nguyen nhan gay tran - 0007 - Khac</t>
  </si>
  <si>
    <t>14) Nguyen nhan gay tran - 0008 - 0001</t>
  </si>
  <si>
    <t>14) Nguyen nhan gay tran - 0008 - 0002</t>
  </si>
  <si>
    <t>14) Nguyen nhan gay tran - 0008 - 0003</t>
  </si>
  <si>
    <t>14) Nguyen nhan gay tran - 0008 - 0004</t>
  </si>
  <si>
    <t>14) Nguyen nhan gay tran - 0008 - 0005</t>
  </si>
  <si>
    <t>14) Nguyen nhan gay tran - 0008 - 0006</t>
  </si>
  <si>
    <t>14) Nguyen nhan gay tran - 0008 - Khac</t>
  </si>
  <si>
    <t>14) Nguyen nhan gay tran - 0009 - 0001</t>
  </si>
  <si>
    <t>14) Nguyen nhan gay tran - 0009 - 0002</t>
  </si>
  <si>
    <t>14) Nguyen nhan gay tran - 0009 - 0003</t>
  </si>
  <si>
    <t>14) Nguyen nhan gay tran - 0009 - 0004</t>
  </si>
  <si>
    <t>14) Nguyen nhan gay tran - 0009 - 0005</t>
  </si>
  <si>
    <t>14) Nguyen nhan gay tran - 0009 - 0006</t>
  </si>
  <si>
    <t>14) Nguyen nhan gay tran - 0009 - Khac</t>
  </si>
  <si>
    <t>14) Nguyen nhan gay tran - 0010 - 0001</t>
  </si>
  <si>
    <t>14) Nguyen nhan gay tran - 0010 - 0002</t>
  </si>
  <si>
    <t>14) Nguyen nhan gay tran - 0010 - 0003</t>
  </si>
  <si>
    <t>14) Nguyen nhan gay tran - 0010 - 0004</t>
  </si>
  <si>
    <t>14) Nguyen nhan gay tran - 0010 - 0005</t>
  </si>
  <si>
    <t>14) Nguyen nhan gay tran - 0010 - 0006</t>
  </si>
  <si>
    <t>14) Nguyen nhan gay tran - 0010 - Khac</t>
  </si>
  <si>
    <t>14) Nguyen nhan gay tran - 0011 - 0001</t>
  </si>
  <si>
    <t>14) Nguyen nhan gay tran - 0011 - 0002</t>
  </si>
  <si>
    <t>14) Nguyen nhan gay tran - 0011 - 0003</t>
  </si>
  <si>
    <t>14) Nguyen nhan gay tran - 0011 - 0004</t>
  </si>
  <si>
    <t>14) Nguyen nhan gay tran - 0011 - 0005</t>
  </si>
  <si>
    <t>14) Nguyen nhan gay tran - 0011 - 0006</t>
  </si>
  <si>
    <t>14) Nguyen nhan gay tran - 0011 - Khac</t>
  </si>
  <si>
    <t>14) Nguyen nhan gay tran - 0012 - 0001</t>
  </si>
  <si>
    <t>14) Nguyen nhan gay tran - 0012 - 0002</t>
  </si>
  <si>
    <t>14) Nguyen nhan gay tran - 0012 - 0003</t>
  </si>
  <si>
    <t>14) Nguyen nhan gay tran - 0012 - 0004</t>
  </si>
  <si>
    <t>14) Nguyen nhan gay tran - 0012 - 0005</t>
  </si>
  <si>
    <t>14) Nguyen nhan gay tran - 0012 - 0006</t>
  </si>
  <si>
    <t>14) Nguyen nhan gay tran - 0012 - Khac</t>
  </si>
  <si>
    <t>Q13</t>
  </si>
  <si>
    <t>Q14</t>
  </si>
  <si>
    <t>VARSTOCASES /ID = ID1</t>
  </si>
  <si>
    <t>User</t>
  </si>
  <si>
    <t>Khu_Vuc</t>
  </si>
  <si>
    <t>Tuoi</t>
  </si>
  <si>
    <t>Sp_Thu</t>
  </si>
  <si>
    <t>Q2</t>
  </si>
  <si>
    <t>GioiTinh</t>
  </si>
  <si>
    <t>Q5</t>
  </si>
  <si>
    <t>Q6</t>
  </si>
  <si>
    <t>Q12</t>
  </si>
  <si>
    <t>Q15</t>
  </si>
  <si>
    <t>Q17</t>
  </si>
  <si>
    <t>Q18</t>
  </si>
  <si>
    <t>Q19</t>
  </si>
  <si>
    <t>Q20</t>
  </si>
  <si>
    <t>Q21</t>
  </si>
  <si>
    <t>Q22</t>
  </si>
  <si>
    <t>Q23</t>
  </si>
  <si>
    <t>Q24</t>
  </si>
  <si>
    <t>Q25</t>
  </si>
  <si>
    <t>Q26</t>
  </si>
  <si>
    <t>Q27</t>
  </si>
  <si>
    <t>Brand_1</t>
  </si>
  <si>
    <t>Brand_2</t>
  </si>
  <si>
    <t>Brand_3</t>
  </si>
  <si>
    <t>Brand_4</t>
  </si>
  <si>
    <t>Sp_Thu_1</t>
  </si>
  <si>
    <t>Sp_Thu_2</t>
  </si>
  <si>
    <t>Sp_Thu_3</t>
  </si>
  <si>
    <t>Sp_Thu_4</t>
  </si>
  <si>
    <t>Q2_1</t>
  </si>
  <si>
    <t>Q2_2</t>
  </si>
  <si>
    <t>Q2_3</t>
  </si>
  <si>
    <t>Q2_4</t>
  </si>
  <si>
    <t>Q3_1</t>
  </si>
  <si>
    <t>Q3_2</t>
  </si>
  <si>
    <t>Q3_3</t>
  </si>
  <si>
    <t>Q3_4</t>
  </si>
  <si>
    <t>Q4_1</t>
  </si>
  <si>
    <t>Q4_2</t>
  </si>
  <si>
    <t>Q4_3</t>
  </si>
  <si>
    <t>Q4_4</t>
  </si>
  <si>
    <t>Q5_1</t>
  </si>
  <si>
    <t>Q5_2</t>
  </si>
  <si>
    <t>Q5_3</t>
  </si>
  <si>
    <t>Q5_4</t>
  </si>
  <si>
    <t>Q6_1</t>
  </si>
  <si>
    <t>Q6_2</t>
  </si>
  <si>
    <t>Q6_3</t>
  </si>
  <si>
    <t>Q6_4</t>
  </si>
  <si>
    <t>Q7_1</t>
  </si>
  <si>
    <t>Q7_2</t>
  </si>
  <si>
    <t>Q7_3</t>
  </si>
  <si>
    <t>Q7_4</t>
  </si>
  <si>
    <t>Q10_1</t>
  </si>
  <si>
    <t>Q10_2</t>
  </si>
  <si>
    <t>Q10_3</t>
  </si>
  <si>
    <t>Q10_4</t>
  </si>
  <si>
    <t>Q11_1</t>
  </si>
  <si>
    <t>Q11_2</t>
  </si>
  <si>
    <t>Q11_3</t>
  </si>
  <si>
    <t>Q11_4</t>
  </si>
  <si>
    <t>Q12_1</t>
  </si>
  <si>
    <t>Q12_2</t>
  </si>
  <si>
    <t>Q12_3</t>
  </si>
  <si>
    <t>Q12_4</t>
  </si>
  <si>
    <t>Q13_1</t>
  </si>
  <si>
    <t>Q13_2</t>
  </si>
  <si>
    <t>Q13_3</t>
  </si>
  <si>
    <t>Q13_4</t>
  </si>
  <si>
    <t>Q14_1</t>
  </si>
  <si>
    <t>Q14_2</t>
  </si>
  <si>
    <t>Q14_3</t>
  </si>
  <si>
    <t>Q14_4</t>
  </si>
  <si>
    <t>Q15_1</t>
  </si>
  <si>
    <t>Q15_2</t>
  </si>
  <si>
    <t>Q15_3</t>
  </si>
  <si>
    <t>Q15_4</t>
  </si>
  <si>
    <t>Q17_1</t>
  </si>
  <si>
    <t>Q17_2</t>
  </si>
  <si>
    <t>Q17_3</t>
  </si>
  <si>
    <t>Q17_4</t>
  </si>
  <si>
    <t>Q18_1</t>
  </si>
  <si>
    <t>Q18_2</t>
  </si>
  <si>
    <t>Q18_3</t>
  </si>
  <si>
    <t>Q18_4</t>
  </si>
  <si>
    <t>Q19_1</t>
  </si>
  <si>
    <t>Q19_2</t>
  </si>
  <si>
    <t>Q19_3</t>
  </si>
  <si>
    <t>Q19_4</t>
  </si>
  <si>
    <t>Q20_1</t>
  </si>
  <si>
    <t>Q20_2</t>
  </si>
  <si>
    <t>Q20_3</t>
  </si>
  <si>
    <t>Q20_4</t>
  </si>
  <si>
    <t>Q21_1</t>
  </si>
  <si>
    <t>Q21_2</t>
  </si>
  <si>
    <t>Q21_3</t>
  </si>
  <si>
    <t>Q21_4</t>
  </si>
  <si>
    <t>Q22_1</t>
  </si>
  <si>
    <t>Q22_2</t>
  </si>
  <si>
    <t>Q22_3</t>
  </si>
  <si>
    <t>Q22_4</t>
  </si>
  <si>
    <t>Q23_1</t>
  </si>
  <si>
    <t>Q23_2</t>
  </si>
  <si>
    <t>Q23_3</t>
  </si>
  <si>
    <t>Q23_4</t>
  </si>
  <si>
    <t>Q24_1</t>
  </si>
  <si>
    <t>Q24_2</t>
  </si>
  <si>
    <t>Q24_3</t>
  </si>
  <si>
    <t>Q24_4</t>
  </si>
  <si>
    <t>Q25_1</t>
  </si>
  <si>
    <t>Q25_2</t>
  </si>
  <si>
    <t>Q25_3</t>
  </si>
  <si>
    <t>Q25_4</t>
  </si>
  <si>
    <t>Q26_1</t>
  </si>
  <si>
    <t>Q26_2</t>
  </si>
  <si>
    <t>Q26_3</t>
  </si>
  <si>
    <t>Q26_4</t>
  </si>
  <si>
    <t>Q27_1</t>
  </si>
  <si>
    <t>Q27_2</t>
  </si>
  <si>
    <t>Q27_3</t>
  </si>
  <si>
    <t>Q27_4</t>
  </si>
  <si>
    <t xml:space="preserve"> /KEEP = ID User Khu_Vuc Tuoi TLKT GioiTinh</t>
  </si>
  <si>
    <t xml:space="preserve"> /INDEX = SP(4)</t>
  </si>
  <si>
    <t xml:space="preserve"> Value label SP</t>
  </si>
  <si>
    <t>H11</t>
  </si>
  <si>
    <t>H12</t>
  </si>
  <si>
    <t>H21</t>
  </si>
  <si>
    <t>H22</t>
  </si>
  <si>
    <t>BCH</t>
  </si>
  <si>
    <t>F1 - Nguoi chiu trach nhiem chinh</t>
  </si>
  <si>
    <t>F2 - Muc do thuong xuyen giat giu trong gia dinh</t>
  </si>
  <si>
    <t>F3 - Quyet dinh chinh nhan hieu cac san pham giat giu</t>
  </si>
  <si>
    <t>F4 - Nganh cam</t>
  </si>
  <si>
    <t>F5 - Tham gia NCTT</t>
  </si>
  <si>
    <t>F6 - Song va lam viec o TPHCM 6 thang lien tiep</t>
  </si>
  <si>
    <t>F7 - Gioi tinh</t>
  </si>
  <si>
    <t>F8 - Do tuoi</t>
  </si>
  <si>
    <t>F9 - Tinh trang hon nhan</t>
  </si>
  <si>
    <t>F10 - 1 tuan chi o cung voi chong 5 ngay hoac hon phai khong</t>
  </si>
  <si>
    <t>F10SQ - Hien tai Chi co con chua? Va con Chi co song cung nha voi Chi khong</t>
  </si>
  <si>
    <t>F11 - Thu nhap ho gia dinh</t>
  </si>
  <si>
    <t>F12a - Household items - 1</t>
  </si>
  <si>
    <t>F12a - Household items - 2</t>
  </si>
  <si>
    <t>F12a - Household items - 3</t>
  </si>
  <si>
    <t>F12a - Household items - 4</t>
  </si>
  <si>
    <t>F12a - Household items - 5</t>
  </si>
  <si>
    <t>F12a - Household items - 6</t>
  </si>
  <si>
    <t>F12a - Household items - 7</t>
  </si>
  <si>
    <t>F12a - Household items - 8</t>
  </si>
  <si>
    <t>F12a - Household items - 9</t>
  </si>
  <si>
    <t>F12a - Household items - 10</t>
  </si>
  <si>
    <t>F12a - Household items - 11</t>
  </si>
  <si>
    <t>F12a - Household items - 12</t>
  </si>
  <si>
    <t>Tong diem vat dung</t>
  </si>
  <si>
    <t>F12c. Cap Nha</t>
  </si>
  <si>
    <t>F12d. TLKT</t>
  </si>
  <si>
    <t>F13 - Co may giat hay khong</t>
  </si>
  <si>
    <t>F14 - Mieu ta viec giat giu</t>
  </si>
  <si>
    <t>F15 - Hien tai chi dang dung Bot giat hay nuoc giat</t>
  </si>
  <si>
    <t>F15SQ - Nhan hieu bot giat su dung chinh</t>
  </si>
  <si>
    <t>F16 - Dung thu trong 7 ngay</t>
  </si>
  <si>
    <t>Q1 - Muc do muon thu</t>
  </si>
  <si>
    <t>Q3 - Muc do moi la</t>
  </si>
  <si>
    <t>Q4 - Hap dan hon - 1</t>
  </si>
  <si>
    <t>Q4 - Hap dan hon - 2</t>
  </si>
  <si>
    <t>Q4 - Hap dan hon - 3</t>
  </si>
  <si>
    <t>Q4 - Hap dan hon - 4</t>
  </si>
  <si>
    <t>Q4 - Hap dan hon - 5</t>
  </si>
  <si>
    <t>Q4 - Hap dan hon - 6</t>
  </si>
  <si>
    <t>Q4 - Hap dan hon - 7</t>
  </si>
  <si>
    <t>Q4 - Hap dan hon - 8</t>
  </si>
  <si>
    <t>Q4 - Hap dan hon - 9</t>
  </si>
  <si>
    <t>Q4 - Hap dan hon - 10</t>
  </si>
  <si>
    <t>Q4 - Hap dan hon - 11</t>
  </si>
  <si>
    <t>Q4 - Hap dan hon - 12</t>
  </si>
  <si>
    <t>Q5 - Hap dan nhat</t>
  </si>
  <si>
    <t>Q6 - Moi la - 1</t>
  </si>
  <si>
    <t>Q6 - Moi la - 2</t>
  </si>
  <si>
    <t>Q6 - Moi la - 3</t>
  </si>
  <si>
    <t>Q6 - Moi la - 4</t>
  </si>
  <si>
    <t>Q6 - Moi la - 5</t>
  </si>
  <si>
    <t>Q6 - Moi la - 6</t>
  </si>
  <si>
    <t>Q6 - Moi la - 7</t>
  </si>
  <si>
    <t>Q6 - Moi la - 8</t>
  </si>
  <si>
    <t>Q6 - Moi la - 9</t>
  </si>
  <si>
    <t>Q6 - Moi la - 10</t>
  </si>
  <si>
    <t>Q6 - Moi la - 11</t>
  </si>
  <si>
    <t>Q6 - Moi la - 12</t>
  </si>
  <si>
    <t>Q7 - Kho tin - 1</t>
  </si>
  <si>
    <t>Q7 - Kho tin - 2</t>
  </si>
  <si>
    <t>Q7 - Kho tin - 3</t>
  </si>
  <si>
    <t>Q7 - Kho tin - 4</t>
  </si>
  <si>
    <t>Q7 - Kho tin - 5</t>
  </si>
  <si>
    <t>Q7 - Kho tin - 6</t>
  </si>
  <si>
    <t>Q7 - Kho tin - 7</t>
  </si>
  <si>
    <t>Q7 - Kho tin - 8</t>
  </si>
  <si>
    <t>Q7 - Kho tin - 9</t>
  </si>
  <si>
    <t>Q7 - Kho tin - 10</t>
  </si>
  <si>
    <t>Q7 - Kho tin - 11</t>
  </si>
  <si>
    <t>Q7 - Kho tin - 12</t>
  </si>
  <si>
    <t>Q8 - Su dung san pham giat giu - 1</t>
  </si>
  <si>
    <t>Q8 - Su dung san pham giat giu - 2</t>
  </si>
  <si>
    <t>Q8 - Su dung san pham giat giu - 3</t>
  </si>
  <si>
    <t>Q9 - Muc do thuong xuyen su dung nuoc tay quan ao</t>
  </si>
  <si>
    <t>Q9SQ - Muc do thuong xuyen su dung nuoc xa vai</t>
  </si>
  <si>
    <t>P1-1a - Loai xa bong giat dung thuong xuyen nhat</t>
  </si>
  <si>
    <t>P1-1b - Loai san pham dung cho viec giat giu</t>
  </si>
  <si>
    <t>P1-1c - So Gram</t>
  </si>
  <si>
    <t>P1-1c - So ML</t>
  </si>
  <si>
    <t>P1-1d - Dang bao bi goc</t>
  </si>
  <si>
    <t>P1-1e - Do sang mot vat chua khac</t>
  </si>
  <si>
    <t>P1-1f - Dung trong bao lau (Ngay)</t>
  </si>
  <si>
    <t>P1-1g - So thang</t>
  </si>
  <si>
    <t>P1-1h - Kiem tra thong tin san pham bot giat tai nha</t>
  </si>
  <si>
    <t>P1-2a - Loai xa bong giat dung thuong xuyen nhat</t>
  </si>
  <si>
    <t>P1-2b - Loai san pham dung cho viec giat giu</t>
  </si>
  <si>
    <t>P1-2c - So Gram</t>
  </si>
  <si>
    <t>P1-2c - So ML</t>
  </si>
  <si>
    <t>P1-2d - Dang bao bi goc</t>
  </si>
  <si>
    <t>P1-2e - Do sang mot vat chua khac</t>
  </si>
  <si>
    <t>P1-2f - Dung trong bao lau (Ngay)</t>
  </si>
  <si>
    <t>P1-2g - So thang</t>
  </si>
  <si>
    <t>P1-2h - Kiem tra thong tin san pham bot giat tai nha</t>
  </si>
  <si>
    <t>P1-3a - Loai xa bong giat dung thuong xuyen nhat</t>
  </si>
  <si>
    <t>P1-3b - Loai san pham dung cho viec giat giu</t>
  </si>
  <si>
    <t>P1-3c - So Gram</t>
  </si>
  <si>
    <t>P1-3c - So ML</t>
  </si>
  <si>
    <t>P1-3d - Dang bao bi goc</t>
  </si>
  <si>
    <t>P1-3e - Do sang mot vat chua khac</t>
  </si>
  <si>
    <t>P1-3f - Dung trong bao lau (Ngay)</t>
  </si>
  <si>
    <t>P1-3g - So thang</t>
  </si>
  <si>
    <t>P1-3h - Kiem tra thong tin san pham bot giat tai nha</t>
  </si>
  <si>
    <t>P4a - Ten nuoc xa vai</t>
  </si>
  <si>
    <t>P4b - So Gram</t>
  </si>
  <si>
    <t>P4b - So ML</t>
  </si>
  <si>
    <t>P4c - Dung trong bao lau (Ngay)</t>
  </si>
  <si>
    <t>P4d - Kiem tra thong tin san pham</t>
  </si>
  <si>
    <t>Q10 - Xac dinh loai may giat</t>
  </si>
  <si>
    <t>Q11a - Muc do thuong xuyen giat may</t>
  </si>
  <si>
    <t>Q11b - Muc do thuong xuyen giat tay</t>
  </si>
  <si>
    <t>Q12a - So lan giat trung binh trong 1 ngay - Giat may</t>
  </si>
  <si>
    <t>Q12b - So lan giat trung binh trong 1 ngay - Giat tay</t>
  </si>
  <si>
    <t>Q13 - Xa truoc</t>
  </si>
  <si>
    <t>Q14 - Ngam quan ao</t>
  </si>
  <si>
    <t>Q15 - Ngam trong bao lau</t>
  </si>
  <si>
    <t>Q16 - Giat o dau</t>
  </si>
  <si>
    <t>Q17 - Xa truoc</t>
  </si>
  <si>
    <t>Q18 - Ngam nuoc</t>
  </si>
  <si>
    <t>Q19 - Ngam truoc bao nhieu lau</t>
  </si>
  <si>
    <t>Q20 - Cach giat thong thuong - 1</t>
  </si>
  <si>
    <t>Q20 - Cach giat thong thuong - 2</t>
  </si>
  <si>
    <t>Q21 - Cach xa quan ao - 1</t>
  </si>
  <si>
    <t>Q21 - Cach xa quan ao - 2</t>
  </si>
  <si>
    <t>Q21 - Cach xa quan ao - 3</t>
  </si>
  <si>
    <t>Q21 - Cach xa quan ao - 4</t>
  </si>
  <si>
    <t>Q21SQ - Thuong xuyen nhat</t>
  </si>
  <si>
    <t>Q22 - Xa may lan</t>
  </si>
  <si>
    <t>Q23 - Do xa bong bang cach nao</t>
  </si>
  <si>
    <t>Q24 - Uoc luong bang cach nao</t>
  </si>
  <si>
    <t>Q25 - Co dung ban chai</t>
  </si>
  <si>
    <t>Q25SQ - Muc do thuong xuyen dung ban chai</t>
  </si>
  <si>
    <t>Q26 - Nguon nuoc</t>
  </si>
  <si>
    <t>Q27 - Cac loai vet ban - 1</t>
  </si>
  <si>
    <t>Q27 - Cac loai vet ban - 2</t>
  </si>
  <si>
    <t>Q27 - Cac loai vet ban - 3</t>
  </si>
  <si>
    <t>Q27 - Cac loai vet ban - 4</t>
  </si>
  <si>
    <t>Q27 - Cac loai vet ban - 5</t>
  </si>
  <si>
    <t>Q27 - Cac loai vet ban - 6</t>
  </si>
  <si>
    <t>Q27 - Cac loai vet ban - 7</t>
  </si>
  <si>
    <t>Q27 - Cac loai vet ban - 8</t>
  </si>
  <si>
    <t>Q27 - Cac loai vet ban - 9</t>
  </si>
  <si>
    <t>Q27 - Cac loai vet ban - 10</t>
  </si>
  <si>
    <t>Q27 - Cac loai vet ban - 11</t>
  </si>
  <si>
    <t>Q27 - Cac loai vet ban - 12</t>
  </si>
  <si>
    <t>Q27 - Cac loai vet ban - 13</t>
  </si>
  <si>
    <t>Q27 - Cac loai vet ban - 14</t>
  </si>
  <si>
    <t>Q27 - Cac loai vet ban - 15</t>
  </si>
  <si>
    <t>Q27 - Cac loai vet ban - 16</t>
  </si>
  <si>
    <t>Q27 - Cac loai vet ban - 17</t>
  </si>
  <si>
    <t>Q27 - Cac loai vet ban - 18</t>
  </si>
  <si>
    <t>Q27 - Cac loai vet ban - 19</t>
  </si>
  <si>
    <t>Q27 - Cac loai vet ban - 20</t>
  </si>
  <si>
    <t>Q27SQ - Vet ban nao la kho giat sach - 1</t>
  </si>
  <si>
    <t>Q27SQ - Vet ban nao la kho giat sach - 2</t>
  </si>
  <si>
    <t>Q27SQ - Vet ban nao la kho giat sach - 3</t>
  </si>
  <si>
    <t>Q27SQ - Vet ban nao la kho giat sach - 4</t>
  </si>
  <si>
    <t>Q27SQ - Vet ban nao la kho giat sach - 5</t>
  </si>
  <si>
    <t>Q27SQ - Vet ban nao la kho giat sach - 6</t>
  </si>
  <si>
    <t>Q27SQ - Vet ban nao la kho giat sach - 7</t>
  </si>
  <si>
    <t>Q27SQ - Vet ban nao la kho giat sach - 8</t>
  </si>
  <si>
    <t>Q27SQ - Vet ban nao la kho giat sach - 9</t>
  </si>
  <si>
    <t>Q27SQ - Vet ban nao la kho giat sach - 10</t>
  </si>
  <si>
    <t>Q27SQ - Vet ban nao la kho giat sach - 11</t>
  </si>
  <si>
    <t>Q27SQ - Vet ban nao la kho giat sach - 12</t>
  </si>
  <si>
    <t>F1 - Nghe nghiep</t>
  </si>
  <si>
    <t>F2 - Bao nhieu ngay / tuan</t>
  </si>
  <si>
    <t>F3 - Bao nhieu thanh vien</t>
  </si>
  <si>
    <t>F6 - Trinh do hoc van - Dap vien</t>
  </si>
  <si>
    <t>F6 - Trinh do hoc van - Chong</t>
  </si>
  <si>
    <t>F6 - Trinh do hoc van - 0003</t>
  </si>
  <si>
    <t>F6 - Trinh do hoc van - 0004</t>
  </si>
  <si>
    <t>F6 - Trinh do hoc van - 0005</t>
  </si>
  <si>
    <t>F6 - Trinh do hoc van - 0006</t>
  </si>
  <si>
    <t>F6 - Trinh do hoc van - 0007</t>
  </si>
  <si>
    <t>F6 - Trinh do hoc van - 0008</t>
  </si>
  <si>
    <t>F6 - Trinh do hoc van - 0009</t>
  </si>
  <si>
    <t>F6 - Trinh do hoc van - 0010</t>
  </si>
  <si>
    <t>F4 - Quan he - Dap vien</t>
  </si>
  <si>
    <t>F4 - Quan he - Chong</t>
  </si>
  <si>
    <t>F4 - Quan he - 0003</t>
  </si>
  <si>
    <t>F4 - Quan he - 0004</t>
  </si>
  <si>
    <t>F4 - Quan he - 0005</t>
  </si>
  <si>
    <t>F4 - Quan he - 0006</t>
  </si>
  <si>
    <t>F4 - Quan he - 0007</t>
  </si>
  <si>
    <t>F4 - Quan he - 0008</t>
  </si>
  <si>
    <t>F4 - Quan he - 0009</t>
  </si>
  <si>
    <t>F4 - Quan he - 0010</t>
  </si>
  <si>
    <t>F4 - Gioi tinh - Dap vien</t>
  </si>
  <si>
    <t>F4 - Gioi tinh - Chong</t>
  </si>
  <si>
    <t>F4 - Gioi tinh - 0003</t>
  </si>
  <si>
    <t>F4 - Gioi tinh - 0004</t>
  </si>
  <si>
    <t>F4 - Gioi tinh - 0005</t>
  </si>
  <si>
    <t>F4 - Gioi tinh - 0006</t>
  </si>
  <si>
    <t>F4 - Gioi tinh - 0007</t>
  </si>
  <si>
    <t>F4 - Gioi tinh - 0008</t>
  </si>
  <si>
    <t>F4 - Gioi tinh - 0009</t>
  </si>
  <si>
    <t>F4 - Gioi tinh - 0010</t>
  </si>
  <si>
    <t>F5 - Tuoi - Dap vien</t>
  </si>
  <si>
    <t>F5 - Tuoi - Chong</t>
  </si>
  <si>
    <t>F5 - Tuoi - 0003</t>
  </si>
  <si>
    <t>F5 - Tuoi - 0004</t>
  </si>
  <si>
    <t>F5 - Tuoi - 0005</t>
  </si>
  <si>
    <t>F5 - Tuoi - 0006</t>
  </si>
  <si>
    <t>F5 - Tuoi - 0007</t>
  </si>
  <si>
    <t>F5 - Tuoi - 0008</t>
  </si>
  <si>
    <t>F5 - Tuoi - 0009</t>
  </si>
  <si>
    <t>F5 - Tuoi - 0010</t>
  </si>
  <si>
    <t>F7 - Nghe nghiep</t>
  </si>
  <si>
    <t>Q1a - Giat may</t>
  </si>
  <si>
    <t>Q1b - Giat tay</t>
  </si>
  <si>
    <t>Q1a+Q1b - Tong so ngay giat</t>
  </si>
  <si>
    <t>Q3SQ - Muc do yeu thich noi chung</t>
  </si>
  <si>
    <t>Q4 - Muc do muon thu</t>
  </si>
  <si>
    <t>Q5 - Hieu qua giat sach</t>
  </si>
  <si>
    <t>Q7 - Vet ban tren co ao</t>
  </si>
  <si>
    <t>Q7SQ - Cam nhan ve hieu qua loai bo vet ban tren co ao</t>
  </si>
  <si>
    <t>Q8 - Vet ban tren co tay</t>
  </si>
  <si>
    <t>Q8SQ - Cam nhan ve hieu qua loai bo vet ban tren co tay</t>
  </si>
  <si>
    <t>Q9 - Vet ban tu thuc pham va do uong</t>
  </si>
  <si>
    <t>Q9SQ - Cam nhan ve hieu qua loai bo vet ban tu thuc pham va do uong</t>
  </si>
  <si>
    <t>Q10 - Cam nhan ve hieu qua khi ngam trong nuoc</t>
  </si>
  <si>
    <t>Q11 - Kha nang tac dong cua nuoc giat</t>
  </si>
  <si>
    <t>Q12 - Hieu qua lam trang quan ao</t>
  </si>
  <si>
    <t>Q13 - Hieu qua lam sang mau quan ao</t>
  </si>
  <si>
    <t>Q14 - Hieu qua giat sach khi vo quan ao</t>
  </si>
  <si>
    <t>Q15 - Muc do de dang khi chi vo quan ao</t>
  </si>
  <si>
    <t>Q17 - Muc do hoa tan trong nuoc cua bot giat mau</t>
  </si>
  <si>
    <t>Q18 - Muc do thich noi chung doi voi Bot</t>
  </si>
  <si>
    <t>Q19 - Luong bot</t>
  </si>
  <si>
    <t>Q21 - Chi thich it bot hay nhieu bot</t>
  </si>
  <si>
    <t>Q22 - Hinh thuc tong quan - Muc do yeu thich</t>
  </si>
  <si>
    <t>Q23 - Muc do yeu thich - Mau cua nuoc giat</t>
  </si>
  <si>
    <t>Q24 - Danh gia ve Do Dam Dac</t>
  </si>
  <si>
    <t>Q25 - Muc do nhanh sach bot / het bot</t>
  </si>
  <si>
    <t>Q26 - Muc do de xa</t>
  </si>
  <si>
    <t>Q27 - Muc do de xa sach nhot</t>
  </si>
  <si>
    <t>Q28 - Muc do thich ve mui huong</t>
  </si>
  <si>
    <t>Q30 - Do manh cua mui huong</t>
  </si>
  <si>
    <t>Q31 - Muc do thich ve Do manh cua mui huong</t>
  </si>
  <si>
    <t>Q32 - Nhan biet / cam nhan duoc mui huong - 1</t>
  </si>
  <si>
    <t>Q32 - Nhan biet / cam nhan duoc mui huong - 2</t>
  </si>
  <si>
    <t>Q32 - Nhan biet / cam nhan duoc mui huong - 3</t>
  </si>
  <si>
    <t>Q32 - Nhan biet / cam nhan duoc mui huong - 4</t>
  </si>
  <si>
    <t>Q32 - Nhan biet / cam nhan duoc mui huong - 5</t>
  </si>
  <si>
    <t>Q32 - Nhan biet / cam nhan duoc mui huong - 6</t>
  </si>
  <si>
    <t>Q32 - Nhan biet / cam nhan duoc mui huong - 7</t>
  </si>
  <si>
    <t>Q32 - Nhan biet / cam nhan duoc mui huong - 8</t>
  </si>
  <si>
    <t>Q32 - Nhan biet / cam nhan duoc mui huong - 9</t>
  </si>
  <si>
    <t>Q32 - Nhan biet / cam nhan duoc mui huong - 10</t>
  </si>
  <si>
    <t>Q32 - Nhan biet / cam nhan duoc mui huong - 11</t>
  </si>
  <si>
    <t>Q32 - Nhan biet / cam nhan duoc mui huong - 12</t>
  </si>
  <si>
    <t>Q32 - Nhan biet / cam nhan duoc mui huong - 13</t>
  </si>
  <si>
    <t>Q32 - Nhan biet / cam nhan duoc mui huong - 14</t>
  </si>
  <si>
    <t>Q33 - An tuong ro ret nhat</t>
  </si>
  <si>
    <t>Q34 - Cam nhan do mem cua Vai</t>
  </si>
  <si>
    <t>Q35 - Kha nang khu mui</t>
  </si>
  <si>
    <t>Q36 - Kha nang diet khuan</t>
  </si>
  <si>
    <t>Q36SQ - Kha nang diet khuan [OA] - 1</t>
  </si>
  <si>
    <t>Q36SQ - Kha nang diet khuan [OA] - 2</t>
  </si>
  <si>
    <t>Q36SQ - Kha nang diet khuan [OA] - 3</t>
  </si>
  <si>
    <t>Q36SQ - Kha nang diet khuan [OA] - 4</t>
  </si>
  <si>
    <t>Q36SQ - Kha nang diet khuan [OA] - 5</t>
  </si>
  <si>
    <t>Q36SQ - Kha nang diet khuan [OA] - 6</t>
  </si>
  <si>
    <t>Q36SQ - Kha nang diet khuan [OA] - 7</t>
  </si>
  <si>
    <t>Q36SQ - Kha nang diet khuan [OA] - 8</t>
  </si>
  <si>
    <t>Q36SQ - Kha nang diet khuan [OA] - 9</t>
  </si>
  <si>
    <t>Q36SQ - Kha nang diet khuan [OA] - 10</t>
  </si>
  <si>
    <t>Q36SQ - Kha nang diet khuan [OA] - 11</t>
  </si>
  <si>
    <t>Q36SQ - Kha nang diet khuan [OA] - 12</t>
  </si>
  <si>
    <t>Q37 - Muc do yeu thich noi chung voi Bao bi</t>
  </si>
  <si>
    <t>Q38 - Muc do de cam</t>
  </si>
  <si>
    <t>Q39 - Muc do yeu thich - Thiet ke cua Nap chai</t>
  </si>
  <si>
    <t>Q40 - Muc do tuong dong</t>
  </si>
  <si>
    <t>Q41 - Tuong dong - 1</t>
  </si>
  <si>
    <t>Q41 - Tuong dong - 2</t>
  </si>
  <si>
    <t>Q41 - Tuong dong - 3</t>
  </si>
  <si>
    <t>Q41 - Tuong dong - 4</t>
  </si>
  <si>
    <t>Q41 - Tuong dong - 5</t>
  </si>
  <si>
    <t>Q41 - Tuong dong - 6</t>
  </si>
  <si>
    <t>Q41 - Tuong dong - 7</t>
  </si>
  <si>
    <t>Q41 - Tuong dong - 8</t>
  </si>
  <si>
    <t>Q41 - Tuong dong - 9</t>
  </si>
  <si>
    <t>Q41 - Tuong dong - 10</t>
  </si>
  <si>
    <t>Q41 - Tuong dong - 11</t>
  </si>
  <si>
    <t>Q41 - Tuong dong - 12</t>
  </si>
  <si>
    <t>Q41 - Tuong dong - 13</t>
  </si>
  <si>
    <t>Q41 - Tuong dong - 14</t>
  </si>
  <si>
    <t>Q41 - Tuong dong - 15</t>
  </si>
  <si>
    <t>Q41 - Tuong dong - 16</t>
  </si>
  <si>
    <t>Q42 - Khong tuong dong - 1</t>
  </si>
  <si>
    <t>Q42 - Khong tuong dong - 2</t>
  </si>
  <si>
    <t>Q42 - Khong tuong dong - 3</t>
  </si>
  <si>
    <t>Q42 - Khong tuong dong - 4</t>
  </si>
  <si>
    <t>Q42 - Khong tuong dong - 5</t>
  </si>
  <si>
    <t>Q42 - Khong tuong dong - 6</t>
  </si>
  <si>
    <t>Q42 - Khong tuong dong - 7</t>
  </si>
  <si>
    <t>Q42 - Khong tuong dong - 8</t>
  </si>
  <si>
    <t>Q42 - Khong tuong dong - 9</t>
  </si>
  <si>
    <t>Q42 - Khong tuong dong - 10</t>
  </si>
  <si>
    <t>Q42 - Khong tuong dong - 11</t>
  </si>
  <si>
    <t>Q42 - Khong tuong dong - 12</t>
  </si>
  <si>
    <t>Q42 - Khong tuong dong - 13</t>
  </si>
  <si>
    <t>Q42 - Khong tuong dong - 14</t>
  </si>
  <si>
    <t>Q42 - Khong tuong dong - 15</t>
  </si>
  <si>
    <t>Q42 - Khong tuong dong - 16</t>
  </si>
  <si>
    <t>Q43 - So sanh voi San Pham chinh</t>
  </si>
  <si>
    <t>Q45 - Kha nang giat sach</t>
  </si>
  <si>
    <t>Q46 - De vo hon</t>
  </si>
  <si>
    <t>Q47 - Xa de dang hon</t>
  </si>
  <si>
    <t>Q48 - Mui huong</t>
  </si>
  <si>
    <t>Q49 - Mui huong manh hon</t>
  </si>
  <si>
    <t>Q50 - Luong nuoc dung cho moi lan giat</t>
  </si>
  <si>
    <t>Q51 - Giat nhanh hon</t>
  </si>
  <si>
    <t>Q52 - Muc do san sang mua</t>
  </si>
  <si>
    <t>Q53 - Co gap van de voi gia tay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</si>
  <si>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</si>
  <si>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</si>
  <si>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</si>
  <si>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</si>
  <si>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</si>
  <si>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</si>
  <si>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</si>
  <si>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</si>
  <si>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</si>
  <si>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</si>
  <si>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F10SQ</t>
  </si>
  <si>
    <t>F11</t>
  </si>
  <si>
    <t>Tong</t>
  </si>
  <si>
    <t>F13</t>
  </si>
  <si>
    <t>F14</t>
  </si>
  <si>
    <t>F15</t>
  </si>
  <si>
    <t>F15SQ</t>
  </si>
  <si>
    <t>F16</t>
  </si>
  <si>
    <t>Q1</t>
  </si>
  <si>
    <t>Q9SQ</t>
  </si>
  <si>
    <t>P1-1a</t>
  </si>
  <si>
    <t>P1-1b</t>
  </si>
  <si>
    <t>P1-1d</t>
  </si>
  <si>
    <t>P1-1e</t>
  </si>
  <si>
    <t>P1-1f</t>
  </si>
  <si>
    <t>P1-1g</t>
  </si>
  <si>
    <t>P1-1h</t>
  </si>
  <si>
    <t>P1-2a</t>
  </si>
  <si>
    <t>P1-2b</t>
  </si>
  <si>
    <t>P1-2d</t>
  </si>
  <si>
    <t>P1-2e</t>
  </si>
  <si>
    <t>P1-2f</t>
  </si>
  <si>
    <t>P1-2g</t>
  </si>
  <si>
    <t>P1-2h</t>
  </si>
  <si>
    <t>P1-3a</t>
  </si>
  <si>
    <t>P1-3b</t>
  </si>
  <si>
    <t>P1-3d</t>
  </si>
  <si>
    <t>P1-3e</t>
  </si>
  <si>
    <t>P1-3f</t>
  </si>
  <si>
    <t>P1-3g</t>
  </si>
  <si>
    <t>P1-3h</t>
  </si>
  <si>
    <t>P4a</t>
  </si>
  <si>
    <t>P4c</t>
  </si>
  <si>
    <t>P4d</t>
  </si>
  <si>
    <t>Q11a</t>
  </si>
  <si>
    <t>Q11b</t>
  </si>
  <si>
    <t>Q12a</t>
  </si>
  <si>
    <t>Q12b</t>
  </si>
  <si>
    <t>Q16</t>
  </si>
  <si>
    <t>Q21SQ</t>
  </si>
  <si>
    <t>Q25SQ</t>
  </si>
  <si>
    <t>Q1b</t>
  </si>
  <si>
    <t>Q1a+Q1b</t>
  </si>
  <si>
    <t>Q3SQ</t>
  </si>
  <si>
    <t>Q7SQ</t>
  </si>
  <si>
    <t>Q8</t>
  </si>
  <si>
    <t>Q8SQ</t>
  </si>
  <si>
    <t>Q28</t>
  </si>
  <si>
    <t>Q30</t>
  </si>
  <si>
    <t>Q31</t>
  </si>
  <si>
    <t>Q33</t>
  </si>
  <si>
    <t>Q34</t>
  </si>
  <si>
    <t>Q35</t>
  </si>
  <si>
    <t>Q36</t>
  </si>
  <si>
    <t>Q37</t>
  </si>
  <si>
    <t>Q38</t>
  </si>
  <si>
    <t>Q39</t>
  </si>
  <si>
    <t>Q40</t>
  </si>
  <si>
    <t>Q43</t>
  </si>
  <si>
    <t>Q45</t>
  </si>
  <si>
    <t>Q46</t>
  </si>
  <si>
    <t>Q47</t>
  </si>
  <si>
    <t>Q48</t>
  </si>
  <si>
    <t>Q49</t>
  </si>
  <si>
    <t>Q50</t>
  </si>
  <si>
    <t>Q51</t>
  </si>
  <si>
    <t>Q52</t>
  </si>
  <si>
    <t>Q53</t>
  </si>
  <si>
    <t>F12c</t>
  </si>
  <si>
    <t>F12d</t>
  </si>
  <si>
    <t>P1-1c_So_Gram</t>
  </si>
  <si>
    <t>P1-1c_So_ML</t>
  </si>
  <si>
    <t>P1-2c_So_Gram</t>
  </si>
  <si>
    <t>P1-2c_So_ML</t>
  </si>
  <si>
    <t>P1-3c_So_Gram</t>
  </si>
  <si>
    <t>P1-3c_So_ML</t>
  </si>
  <si>
    <t>P4b_So_Gram</t>
  </si>
  <si>
    <t>P4b_So_ML</t>
  </si>
  <si>
    <t>F4_Quan_he_Dap_vien</t>
  </si>
  <si>
    <t>F4_Quan_he_Chong</t>
  </si>
  <si>
    <t>F4_Quan_he_0003</t>
  </si>
  <si>
    <t>F4_Quan_he_0004</t>
  </si>
  <si>
    <t>F4_Quan_he_0005</t>
  </si>
  <si>
    <t>F4_Quan_he_0006</t>
  </si>
  <si>
    <t>F4_Quan_he_0007</t>
  </si>
  <si>
    <t>F4_Quan_he_0008</t>
  </si>
  <si>
    <t>F4_Quan_he_0009</t>
  </si>
  <si>
    <t>F4_Quan_he_0010</t>
  </si>
  <si>
    <t>F4_Gioi_tinh_Dap_vien</t>
  </si>
  <si>
    <t>F4_Gioi_tinh_Chong</t>
  </si>
  <si>
    <t>F4_Gioi_tinh_0003</t>
  </si>
  <si>
    <t>F4_Gioi_tinh_0004</t>
  </si>
  <si>
    <t>F4_Gioi_tinh_0005</t>
  </si>
  <si>
    <t>F4_Gioi_tinh_0006</t>
  </si>
  <si>
    <t>F4_Gioi_tinh_0007</t>
  </si>
  <si>
    <t>F4_Gioi_tinh_0008</t>
  </si>
  <si>
    <t>F4_Gioi_tinh_0009</t>
  </si>
  <si>
    <t>F4_Gioi_tinh_0010</t>
  </si>
  <si>
    <t>Fa_1</t>
  </si>
  <si>
    <t>Fa_2</t>
  </si>
  <si>
    <t>Fa_3</t>
  </si>
  <si>
    <t>Fa_4</t>
  </si>
  <si>
    <t>Fa_5</t>
  </si>
  <si>
    <t>Fa_6</t>
  </si>
  <si>
    <t>Fa_7</t>
  </si>
  <si>
    <t>Fa_8</t>
  </si>
  <si>
    <t>Fa_9</t>
  </si>
  <si>
    <t>Fa_10</t>
  </si>
  <si>
    <t>Fa_11</t>
  </si>
  <si>
    <t>Fa_</t>
  </si>
  <si>
    <t>Q4_5</t>
  </si>
  <si>
    <t>Q4_6</t>
  </si>
  <si>
    <t>Q4_7</t>
  </si>
  <si>
    <t>Q4_8</t>
  </si>
  <si>
    <t>Q4_9</t>
  </si>
  <si>
    <t>Q4_10</t>
  </si>
  <si>
    <t>Q4_11</t>
  </si>
  <si>
    <t>Q4_12</t>
  </si>
  <si>
    <t>Q6_5</t>
  </si>
  <si>
    <t>Q6_6</t>
  </si>
  <si>
    <t>Q6_7</t>
  </si>
  <si>
    <t>Q6_8</t>
  </si>
  <si>
    <t>Q6_9</t>
  </si>
  <si>
    <t>Q6_10</t>
  </si>
  <si>
    <t>Q6_11</t>
  </si>
  <si>
    <t>Q6_12</t>
  </si>
  <si>
    <t>Q7_5</t>
  </si>
  <si>
    <t>Q7_6</t>
  </si>
  <si>
    <t>Q7_7</t>
  </si>
  <si>
    <t>Q7_8</t>
  </si>
  <si>
    <t>Q7_9</t>
  </si>
  <si>
    <t>Q7_10</t>
  </si>
  <si>
    <t>Q7_11</t>
  </si>
  <si>
    <t>Q7_12</t>
  </si>
  <si>
    <t>Q8_1</t>
  </si>
  <si>
    <t>Q8_2</t>
  </si>
  <si>
    <t>Q8_3</t>
  </si>
  <si>
    <t>Q0_1</t>
  </si>
  <si>
    <t>Q0_</t>
  </si>
  <si>
    <t>Q27_5</t>
  </si>
  <si>
    <t>Q27_6</t>
  </si>
  <si>
    <t>Q27_7</t>
  </si>
  <si>
    <t>Q27_8</t>
  </si>
  <si>
    <t>Q27_9</t>
  </si>
  <si>
    <t>Q27_10</t>
  </si>
  <si>
    <t>Q27_11</t>
  </si>
  <si>
    <t>Q27_12</t>
  </si>
  <si>
    <t>Q27_13</t>
  </si>
  <si>
    <t>Q27_14</t>
  </si>
  <si>
    <t>Q27_15</t>
  </si>
  <si>
    <t>Q27_16</t>
  </si>
  <si>
    <t>Q27_17</t>
  </si>
  <si>
    <t>Q27_18</t>
  </si>
  <si>
    <t>Q27_19</t>
  </si>
  <si>
    <t>Q27_20</t>
  </si>
  <si>
    <t>Q27SQ_1</t>
  </si>
  <si>
    <t>Q27SQ_2</t>
  </si>
  <si>
    <t>Q27SQ_3</t>
  </si>
  <si>
    <t>Q27SQ_4</t>
  </si>
  <si>
    <t>Q27SQ_5</t>
  </si>
  <si>
    <t>Q27SQ_6</t>
  </si>
  <si>
    <t>Q27SQ_7</t>
  </si>
  <si>
    <t>Q27SQ_8</t>
  </si>
  <si>
    <t>Q27SQ_9</t>
  </si>
  <si>
    <t>Q27SQ_10</t>
  </si>
  <si>
    <t>Q27SQ_11</t>
  </si>
  <si>
    <t>Q27SQ_12</t>
  </si>
  <si>
    <t>F6_Dap_vien</t>
  </si>
  <si>
    <t>F6_Chong</t>
  </si>
  <si>
    <t>F6_0003</t>
  </si>
  <si>
    <t>F6_0004</t>
  </si>
  <si>
    <t>F6_0005</t>
  </si>
  <si>
    <t>F6_0006</t>
  </si>
  <si>
    <t>F6_0007</t>
  </si>
  <si>
    <t>F6_0008</t>
  </si>
  <si>
    <t>F6_0009</t>
  </si>
  <si>
    <t>F6_0010</t>
  </si>
  <si>
    <t>F5_Dap_vien</t>
  </si>
  <si>
    <t>F5_Chong</t>
  </si>
  <si>
    <t>F5_0003</t>
  </si>
  <si>
    <t>F5_0004</t>
  </si>
  <si>
    <t>F5_0005</t>
  </si>
  <si>
    <t>F5_0006</t>
  </si>
  <si>
    <t>F5_0007</t>
  </si>
  <si>
    <t>F5_0008</t>
  </si>
  <si>
    <t>F5_0009</t>
  </si>
  <si>
    <t>F5_0010</t>
  </si>
  <si>
    <t>Q32_1</t>
  </si>
  <si>
    <t>Q32_2</t>
  </si>
  <si>
    <t>Q32_3</t>
  </si>
  <si>
    <t>Q32_4</t>
  </si>
  <si>
    <t>Q32_5</t>
  </si>
  <si>
    <t>Q32_6</t>
  </si>
  <si>
    <t>Q32_7</t>
  </si>
  <si>
    <t>Q32_8</t>
  </si>
  <si>
    <t>Q32_9</t>
  </si>
  <si>
    <t>Q32_10</t>
  </si>
  <si>
    <t>Q32_11</t>
  </si>
  <si>
    <t>Q32_12</t>
  </si>
  <si>
    <t>Q32_13</t>
  </si>
  <si>
    <t>Q32_14</t>
  </si>
  <si>
    <t>Q36SQ_1</t>
  </si>
  <si>
    <t>Q36SQ_2</t>
  </si>
  <si>
    <t>Q36SQ_3</t>
  </si>
  <si>
    <t>Q36SQ_4</t>
  </si>
  <si>
    <t>Q36SQ_5</t>
  </si>
  <si>
    <t>Q36SQ_6</t>
  </si>
  <si>
    <t>Q36SQ_7</t>
  </si>
  <si>
    <t>Q36SQ_8</t>
  </si>
  <si>
    <t>Q36SQ_9</t>
  </si>
  <si>
    <t>Q36SQ_10</t>
  </si>
  <si>
    <t>Q36SQ_11</t>
  </si>
  <si>
    <t>Q36SQ_12</t>
  </si>
  <si>
    <t>Q41_1</t>
  </si>
  <si>
    <t>Q41_2</t>
  </si>
  <si>
    <t>Q41_3</t>
  </si>
  <si>
    <t>Q41_4</t>
  </si>
  <si>
    <t>Q41_5</t>
  </si>
  <si>
    <t>Q41_6</t>
  </si>
  <si>
    <t>Q41_7</t>
  </si>
  <si>
    <t>Q41_8</t>
  </si>
  <si>
    <t>Q41_9</t>
  </si>
  <si>
    <t>Q41_10</t>
  </si>
  <si>
    <t>Q41_11</t>
  </si>
  <si>
    <t>Q41_12</t>
  </si>
  <si>
    <t>Q41_13</t>
  </si>
  <si>
    <t>Q41_14</t>
  </si>
  <si>
    <t>Q41_15</t>
  </si>
  <si>
    <t>Q41_16</t>
  </si>
  <si>
    <t>Q42_1</t>
  </si>
  <si>
    <t>Q42_2</t>
  </si>
  <si>
    <t>Q42_3</t>
  </si>
  <si>
    <t>Q42_4</t>
  </si>
  <si>
    <t>Q42_5</t>
  </si>
  <si>
    <t>Q42_6</t>
  </si>
  <si>
    <t>Q42_7</t>
  </si>
  <si>
    <t>Q42_8</t>
  </si>
  <si>
    <t>Q42_9</t>
  </si>
  <si>
    <t>Q42_10</t>
  </si>
  <si>
    <t>Q42_11</t>
  </si>
  <si>
    <t>Q42_12</t>
  </si>
  <si>
    <t>Q42_13</t>
  </si>
  <si>
    <t>Q42_14</t>
  </si>
  <si>
    <t>Q42_15</t>
  </si>
  <si>
    <t>Q42_16</t>
  </si>
  <si>
    <t>P1_1a</t>
  </si>
  <si>
    <t>P1_1b</t>
  </si>
  <si>
    <t>P1_1c_So_Gram</t>
  </si>
  <si>
    <t>P1_1c_So_ML</t>
  </si>
  <si>
    <t>P1_1d</t>
  </si>
  <si>
    <t>P1_1e</t>
  </si>
  <si>
    <t>P1_1f</t>
  </si>
  <si>
    <t>P1_1g</t>
  </si>
  <si>
    <t>P1_1h</t>
  </si>
  <si>
    <t>P1_2a</t>
  </si>
  <si>
    <t>P1_2b</t>
  </si>
  <si>
    <t>P1_2c_So_Gram</t>
  </si>
  <si>
    <t>P1_2c_So_ML</t>
  </si>
  <si>
    <t>P1_2d</t>
  </si>
  <si>
    <t>P1_2e</t>
  </si>
  <si>
    <t>P1_2f</t>
  </si>
  <si>
    <t>P1_2g</t>
  </si>
  <si>
    <t>P1_2h</t>
  </si>
  <si>
    <t>P1_3a</t>
  </si>
  <si>
    <t>P1_3b</t>
  </si>
  <si>
    <t>P1_3c_So_Gram</t>
  </si>
  <si>
    <t>P1_3c_So_ML</t>
  </si>
  <si>
    <t>P1_3d</t>
  </si>
  <si>
    <t>P1_3e</t>
  </si>
  <si>
    <t>P1_3f</t>
  </si>
  <si>
    <t>P1_3g</t>
  </si>
  <si>
    <t>P1_3h</t>
  </si>
  <si>
    <t>Post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</si>
</sst>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mbria"/>
      <family val="1"/>
      <scheme val="maj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0" xfId="0" applyFont="1" applyBorder="1"/>
    <xf numFmtId="0" fontId="0" fillId="0" borderId="0" xfId="0" applyBorder="1"/>
    <xf numFmtId="0" fontId="5" fillId="0" borderId="0" xfId="0" applyFont="1"/>
    <xf numFmtId="0" fontId="3" fillId="2" borderId="0" xfId="0" applyFont="1" applyFill="1"/>
    <xf numFmtId="0" fontId="3" fillId="2" borderId="0" xfId="0" applyFont="1" applyFill="1" applyBorder="1"/>
    <xf numFmtId="0" fontId="1" fillId="0" borderId="0" xfId="0" applyFont="1" applyFill="1" applyBorder="1"/>
    <xf numFmtId="0" fontId="1" fillId="0" borderId="2" xfId="0" applyFont="1" applyBorder="1"/>
    <xf numFmtId="0" fontId="1" fillId="0" borderId="2" xfId="0" applyFont="1" applyFill="1" applyBorder="1"/>
    <xf numFmtId="0" fontId="0" fillId="0" borderId="2" xfId="0" applyBorder="1"/>
    <xf numFmtId="0" fontId="0" fillId="3" borderId="0" xfId="0" applyFill="1"/>
    <xf numFmtId="0" fontId="1" fillId="3" borderId="0" xfId="0" applyFont="1" applyFill="1" applyBorder="1"/>
    <xf numFmtId="0" fontId="0" fillId="0" borderId="0" xfId="0" applyFill="1"/>
    <xf numFmtId="0" fontId="3" fillId="0" borderId="0" xfId="0" applyFont="1" applyFill="1" applyBorder="1" applyAlignment="1">
      <alignment horizontal="left"/>
    </xf>
    <xf numFmtId="0" fontId="3" fillId="2" borderId="0" xfId="0" applyFont="1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2" fillId="0" borderId="1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0" xfId="0" applyFont="1" applyAlignment="1">
      <alignment horizontal="left"/>
    </xf>
    <xf numFmtId="0" fontId="6" fillId="2" borderId="0" xfId="0" applyFont="1" applyFill="1" applyAlignment="1">
      <alignment horizontal="left"/>
    </xf>
    <xf numFmtId="0" fontId="3" fillId="2" borderId="0" xfId="0" applyFont="1" applyFill="1" applyAlignment="1">
      <alignment horizontal="left"/>
    </xf>
    <xf numFmtId="0" fontId="0" fillId="0" borderId="0" xfId="0" applyFill="1" applyAlignment="1">
      <alignment horizontal="left"/>
    </xf>
    <xf numFmtId="0" fontId="7" fillId="0" borderId="0" xfId="0" applyFont="1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1" fillId="0" borderId="0" xfId="0" applyFont="1" applyBorder="1" applyAlignment="1">
      <alignment horizontal="center"/>
    </xf>
    <xf numFmtId="0" fontId="3" fillId="0" borderId="0" xfId="0" applyFont="1" applyFill="1" applyBorder="1"/>
    <xf numFmtId="0" fontId="6" fillId="2" borderId="0" xfId="0" applyFont="1" applyFill="1"/>
    <xf numFmtId="0" fontId="6" fillId="2" borderId="0" xfId="0" applyFont="1" applyFill="1" applyBorder="1"/>
    <xf numFmtId="0" fontId="1" fillId="0" borderId="0" xfId="0" applyFont="1" applyAlignment="1">
      <alignment horizontal="left" vertical="center"/>
    </xf>
    <xf numFmtId="0" fontId="3" fillId="2" borderId="0" xfId="0" applyFont="1" applyFill="1" applyBorder="1" applyAlignment="1">
      <alignment horizontal="left"/>
    </xf>
    <xf numFmtId="0" fontId="1" fillId="0" borderId="0" xfId="0" applyFont="1" applyBorder="1" applyAlignment="1">
      <alignment horizontal="left" vertic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3" fillId="2" borderId="0" xfId="0" applyFont="1" applyFill="1" applyBorder="1" applyAlignment="1">
      <alignment horizontal="left"/>
    </xf>
    <xf numFmtId="0" fontId="4" fillId="0" borderId="0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</xdr:row>
          <xdr:rowOff>19050</xdr:rowOff>
        </xdr:from>
        <xdr:to>
          <xdr:col>7</xdr:col>
          <xdr:colOff>9525</xdr:colOff>
          <xdr:row>2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Quất nó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5</xdr:row>
          <xdr:rowOff>28575</xdr:rowOff>
        </xdr:from>
        <xdr:to>
          <xdr:col>9</xdr:col>
          <xdr:colOff>28575</xdr:colOff>
          <xdr:row>7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Quất nó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209550</xdr:rowOff>
        </xdr:from>
        <xdr:to>
          <xdr:col>5</xdr:col>
          <xdr:colOff>85725</xdr:colOff>
          <xdr:row>2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Quất nó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3</xdr:row>
          <xdr:rowOff>28575</xdr:rowOff>
        </xdr:from>
        <xdr:to>
          <xdr:col>7</xdr:col>
          <xdr:colOff>123825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Quất nó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11206</xdr:colOff>
      <xdr:row>39</xdr:row>
      <xdr:rowOff>33634</xdr:rowOff>
    </xdr:from>
    <xdr:to>
      <xdr:col>7</xdr:col>
      <xdr:colOff>481852</xdr:colOff>
      <xdr:row>49</xdr:row>
      <xdr:rowOff>14239</xdr:rowOff>
    </xdr:to>
    <xdr:pic>
      <xdr:nvPicPr>
        <xdr:cNvPr id="3" name="table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206" y="7496752"/>
          <a:ext cx="4706470" cy="1885605"/>
        </a:xfrm>
        <a:prstGeom prst="rect">
          <a:avLst/>
        </a:prstGeom>
      </xdr:spPr>
    </xdr:pic>
    <xdr:clientData/>
  </xdr:twoCellAnchor>
  <xdr:twoCellAnchor>
    <xdr:from>
      <xdr:col>6</xdr:col>
      <xdr:colOff>419476</xdr:colOff>
      <xdr:row>37</xdr:row>
      <xdr:rowOff>94146</xdr:rowOff>
    </xdr:from>
    <xdr:to>
      <xdr:col>8</xdr:col>
      <xdr:colOff>56031</xdr:colOff>
      <xdr:row>41</xdr:row>
      <xdr:rowOff>179310</xdr:rowOff>
    </xdr:to>
    <xdr:sp macro="" textlink="">
      <xdr:nvSpPr>
        <xdr:cNvPr id="4" name="Rectangular Callout 3"/>
        <xdr:cNvSpPr/>
      </xdr:nvSpPr>
      <xdr:spPr>
        <a:xfrm>
          <a:off x="4050182" y="7176264"/>
          <a:ext cx="846790" cy="847164"/>
        </a:xfrm>
        <a:prstGeom prst="wedgeRectCallout">
          <a:avLst>
            <a:gd name="adj1" fmla="val -72787"/>
            <a:gd name="adj2" fmla="val 12358"/>
          </a:avLst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/>
            <a:t>Chỉ chấp nhận khi VIF &lt;=1.4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104775</xdr:rowOff>
        </xdr:from>
        <xdr:to>
          <xdr:col>6</xdr:col>
          <xdr:colOff>38100</xdr:colOff>
          <xdr:row>1</xdr:row>
          <xdr:rowOff>200025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Quất nó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L320"/>
  <sheetViews>
    <sheetView tabSelected="1" topLeftCell="H1" zoomScale="85" zoomScaleNormal="85" workbookViewId="0">
      <pane ySplit="3" topLeftCell="A217" activePane="bottomLeft" state="frozen"/>
      <selection pane="bottomLeft" activeCell="L219" sqref="L219:L320"/>
    </sheetView>
  </sheetViews>
  <sheetFormatPr defaultRowHeight="15" x14ac:dyDescent="0.25"/>
  <cols>
    <col min="5" max="8" width="9.42578125" customWidth="1"/>
    <col min="9" max="9" width="9.5703125" hidden="1" customWidth="1"/>
  </cols>
  <sheetData>
    <row r="1" spans="1:11" ht="16.5" thickBot="1" x14ac:dyDescent="0.3">
      <c r="A1" s="2" t="s">
        <v>0</v>
      </c>
      <c r="B1" s="1"/>
    </row>
    <row r="2" spans="1:11" ht="15.75" thickTop="1" x14ac:dyDescent="0.25"/>
    <row r="3" spans="1:11" x14ac:dyDescent="0.25">
      <c r="A3" s="7" t="s">
        <v>1</v>
      </c>
      <c r="B3" s="32"/>
      <c r="C3" s="4"/>
      <c r="D3" s="4"/>
      <c r="E3" s="4"/>
      <c r="J3" t="s">
        <v>2279</v>
      </c>
      <c r="K3" s="31"/>
    </row>
    <row r="4" spans="1:11" x14ac:dyDescent="0.25">
      <c r="A4" t="s">
        <v>2531</v>
      </c>
      <c r="I4" t="s">
        <v>2531</v>
      </c>
      <c r="J4" t="s">
        <v>2531</v>
      </c>
    </row>
    <row r="5" spans="1:11" x14ac:dyDescent="0.25">
      <c r="A5" t="s">
        <v>2532</v>
      </c>
      <c r="I5" t="s">
        <v>2848</v>
      </c>
      <c r="J5" s="39" t="s">
        <v>2848</v>
      </c>
    </row>
    <row r="6" spans="1:11" x14ac:dyDescent="0.25">
      <c r="A6" t="s">
        <v>2533</v>
      </c>
      <c r="I6" t="s">
        <v>2849</v>
      </c>
      <c r="J6" s="39" t="s">
        <v>2849</v>
      </c>
    </row>
    <row r="7" spans="1:11" x14ac:dyDescent="0.25">
      <c r="A7" t="s">
        <v>2534</v>
      </c>
      <c r="I7" t="s">
        <v>2850</v>
      </c>
      <c r="J7" s="39" t="s">
        <v>2850</v>
      </c>
    </row>
    <row r="8" spans="1:11" x14ac:dyDescent="0.25">
      <c r="A8" t="s">
        <v>2535</v>
      </c>
      <c r="I8" t="s">
        <v>2851</v>
      </c>
      <c r="J8" s="39" t="s">
        <v>2851</v>
      </c>
    </row>
    <row r="9" spans="1:11" x14ac:dyDescent="0.25">
      <c r="A9" t="s">
        <v>2536</v>
      </c>
      <c r="I9" t="s">
        <v>2852</v>
      </c>
      <c r="J9" s="39" t="s">
        <v>2852</v>
      </c>
    </row>
    <row r="10" spans="1:11" x14ac:dyDescent="0.25">
      <c r="A10" t="s">
        <v>2537</v>
      </c>
      <c r="I10" t="s">
        <v>2853</v>
      </c>
      <c r="J10" s="39" t="s">
        <v>2853</v>
      </c>
    </row>
    <row r="11" spans="1:11" x14ac:dyDescent="0.25">
      <c r="A11" t="s">
        <v>2538</v>
      </c>
      <c r="I11" t="s">
        <v>2854</v>
      </c>
      <c r="J11" s="39" t="s">
        <v>2854</v>
      </c>
    </row>
    <row r="12" spans="1:11" x14ac:dyDescent="0.25">
      <c r="A12" t="s">
        <v>2539</v>
      </c>
      <c r="I12" t="s">
        <v>2855</v>
      </c>
      <c r="J12" s="39" t="s">
        <v>2855</v>
      </c>
    </row>
    <row r="13" spans="1:11" x14ac:dyDescent="0.25">
      <c r="A13" t="s">
        <v>2540</v>
      </c>
      <c r="I13" t="s">
        <v>2856</v>
      </c>
      <c r="J13" s="39" t="s">
        <v>2856</v>
      </c>
    </row>
    <row r="14" spans="1:11" x14ac:dyDescent="0.25">
      <c r="A14" t="s">
        <v>2541</v>
      </c>
      <c r="I14" t="s">
        <v>2857</v>
      </c>
      <c r="J14" s="39" t="s">
        <v>2857</v>
      </c>
    </row>
    <row r="15" spans="1:11" x14ac:dyDescent="0.25">
      <c r="A15" t="s">
        <v>2542</v>
      </c>
      <c r="I15" t="s">
        <v>2858</v>
      </c>
      <c r="J15" s="39" t="s">
        <v>2858</v>
      </c>
    </row>
    <row r="16" spans="1:11" x14ac:dyDescent="0.25">
      <c r="A16" t="s">
        <v>2543</v>
      </c>
      <c r="I16" t="s">
        <v>2859</v>
      </c>
      <c r="J16" s="39" t="s">
        <v>2859</v>
      </c>
    </row>
    <row r="17" spans="1:10" x14ac:dyDescent="0.25">
      <c r="A17" t="s">
        <v>2544</v>
      </c>
      <c r="I17" s="39" t="s">
        <v>2956</v>
      </c>
      <c r="J17" s="39" t="s">
        <v>2956</v>
      </c>
    </row>
    <row r="18" spans="1:10" x14ac:dyDescent="0.25">
      <c r="A18" t="s">
        <v>2545</v>
      </c>
      <c r="I18" s="39" t="s">
        <v>2957</v>
      </c>
      <c r="J18" s="39" t="s">
        <v>2957</v>
      </c>
    </row>
    <row r="19" spans="1:10" x14ac:dyDescent="0.25">
      <c r="A19" t="s">
        <v>2546</v>
      </c>
      <c r="I19" s="39" t="s">
        <v>2958</v>
      </c>
      <c r="J19" s="39" t="s">
        <v>2958</v>
      </c>
    </row>
    <row r="20" spans="1:10" x14ac:dyDescent="0.25">
      <c r="A20" t="s">
        <v>2547</v>
      </c>
      <c r="I20" s="39" t="s">
        <v>2959</v>
      </c>
      <c r="J20" s="39" t="s">
        <v>2959</v>
      </c>
    </row>
    <row r="21" spans="1:10" x14ac:dyDescent="0.25">
      <c r="A21" t="s">
        <v>2548</v>
      </c>
      <c r="I21" s="39" t="s">
        <v>2960</v>
      </c>
      <c r="J21" s="39" t="s">
        <v>2960</v>
      </c>
    </row>
    <row r="22" spans="1:10" x14ac:dyDescent="0.25">
      <c r="A22" t="s">
        <v>2549</v>
      </c>
      <c r="I22" s="39" t="s">
        <v>2961</v>
      </c>
      <c r="J22" s="39" t="s">
        <v>2961</v>
      </c>
    </row>
    <row r="23" spans="1:10" x14ac:dyDescent="0.25">
      <c r="A23" t="s">
        <v>2550</v>
      </c>
      <c r="I23" s="39" t="s">
        <v>2962</v>
      </c>
      <c r="J23" s="39" t="s">
        <v>2962</v>
      </c>
    </row>
    <row r="24" spans="1:10" x14ac:dyDescent="0.25">
      <c r="A24" t="s">
        <v>2551</v>
      </c>
      <c r="I24" s="39" t="s">
        <v>2963</v>
      </c>
      <c r="J24" s="39" t="s">
        <v>2963</v>
      </c>
    </row>
    <row r="25" spans="1:10" x14ac:dyDescent="0.25">
      <c r="A25" t="s">
        <v>2552</v>
      </c>
      <c r="I25" s="39" t="s">
        <v>2964</v>
      </c>
      <c r="J25" s="39" t="s">
        <v>2964</v>
      </c>
    </row>
    <row r="26" spans="1:10" x14ac:dyDescent="0.25">
      <c r="A26" t="s">
        <v>2553</v>
      </c>
      <c r="I26" s="39" t="s">
        <v>2965</v>
      </c>
      <c r="J26" s="39" t="s">
        <v>2965</v>
      </c>
    </row>
    <row r="27" spans="1:10" x14ac:dyDescent="0.25">
      <c r="A27" t="s">
        <v>2554</v>
      </c>
      <c r="I27" s="39" t="s">
        <v>2966</v>
      </c>
      <c r="J27" s="39" t="s">
        <v>2966</v>
      </c>
    </row>
    <row r="28" spans="1:10" x14ac:dyDescent="0.25">
      <c r="A28" t="s">
        <v>2555</v>
      </c>
      <c r="I28" s="39" t="s">
        <v>2967</v>
      </c>
      <c r="J28" s="39" t="s">
        <v>2967</v>
      </c>
    </row>
    <row r="29" spans="1:10" x14ac:dyDescent="0.25">
      <c r="A29" t="s">
        <v>2556</v>
      </c>
      <c r="I29" t="s">
        <v>2860</v>
      </c>
      <c r="J29" s="39" t="s">
        <v>2860</v>
      </c>
    </row>
    <row r="30" spans="1:10" x14ac:dyDescent="0.25">
      <c r="A30" t="s">
        <v>2557</v>
      </c>
      <c r="I30" t="s">
        <v>2926</v>
      </c>
      <c r="J30" s="39" t="s">
        <v>2926</v>
      </c>
    </row>
    <row r="31" spans="1:10" x14ac:dyDescent="0.25">
      <c r="A31" t="s">
        <v>2558</v>
      </c>
      <c r="I31" t="s">
        <v>2927</v>
      </c>
      <c r="J31" s="39" t="s">
        <v>2927</v>
      </c>
    </row>
    <row r="32" spans="1:10" x14ac:dyDescent="0.25">
      <c r="A32" t="s">
        <v>2559</v>
      </c>
      <c r="I32" t="s">
        <v>2861</v>
      </c>
      <c r="J32" s="39" t="s">
        <v>2861</v>
      </c>
    </row>
    <row r="33" spans="1:10" x14ac:dyDescent="0.25">
      <c r="A33" t="s">
        <v>2560</v>
      </c>
      <c r="I33" t="s">
        <v>2862</v>
      </c>
      <c r="J33" s="39" t="s">
        <v>2862</v>
      </c>
    </row>
    <row r="34" spans="1:10" x14ac:dyDescent="0.25">
      <c r="A34" t="s">
        <v>2561</v>
      </c>
      <c r="I34" t="s">
        <v>2863</v>
      </c>
      <c r="J34" s="39" t="s">
        <v>2863</v>
      </c>
    </row>
    <row r="35" spans="1:10" x14ac:dyDescent="0.25">
      <c r="A35" t="s">
        <v>2562</v>
      </c>
      <c r="I35" t="s">
        <v>2864</v>
      </c>
      <c r="J35" s="39" t="s">
        <v>2864</v>
      </c>
    </row>
    <row r="36" spans="1:10" x14ac:dyDescent="0.25">
      <c r="A36" t="s">
        <v>2563</v>
      </c>
      <c r="I36" t="s">
        <v>2865</v>
      </c>
      <c r="J36" s="39" t="s">
        <v>2865</v>
      </c>
    </row>
    <row r="37" spans="1:10" x14ac:dyDescent="0.25">
      <c r="A37" t="s">
        <v>2564</v>
      </c>
      <c r="I37" t="s">
        <v>2866</v>
      </c>
      <c r="J37" s="39" t="s">
        <v>2866</v>
      </c>
    </row>
    <row r="38" spans="1:10" x14ac:dyDescent="0.25">
      <c r="A38" t="s">
        <v>2565</v>
      </c>
      <c r="I38" t="s">
        <v>7</v>
      </c>
      <c r="J38" s="39" t="s">
        <v>7</v>
      </c>
    </row>
    <row r="39" spans="1:10" x14ac:dyDescent="0.25">
      <c r="A39" t="s">
        <v>2566</v>
      </c>
      <c r="I39" s="39" t="s">
        <v>2440</v>
      </c>
      <c r="J39" s="39" t="s">
        <v>2440</v>
      </c>
    </row>
    <row r="40" spans="1:10" x14ac:dyDescent="0.25">
      <c r="A40" t="s">
        <v>2567</v>
      </c>
      <c r="I40" s="39" t="s">
        <v>2441</v>
      </c>
      <c r="J40" s="39" t="s">
        <v>2441</v>
      </c>
    </row>
    <row r="41" spans="1:10" x14ac:dyDescent="0.25">
      <c r="A41" t="s">
        <v>2568</v>
      </c>
      <c r="I41" s="39" t="s">
        <v>2442</v>
      </c>
      <c r="J41" s="39" t="s">
        <v>2442</v>
      </c>
    </row>
    <row r="42" spans="1:10" x14ac:dyDescent="0.25">
      <c r="A42" t="s">
        <v>2569</v>
      </c>
      <c r="I42" s="39" t="s">
        <v>2443</v>
      </c>
      <c r="J42" s="39" t="s">
        <v>2443</v>
      </c>
    </row>
    <row r="43" spans="1:10" x14ac:dyDescent="0.25">
      <c r="A43" t="s">
        <v>2570</v>
      </c>
      <c r="I43" s="39" t="s">
        <v>2968</v>
      </c>
      <c r="J43" s="39" t="s">
        <v>2968</v>
      </c>
    </row>
    <row r="44" spans="1:10" x14ac:dyDescent="0.25">
      <c r="A44" t="s">
        <v>2571</v>
      </c>
      <c r="I44" s="39" t="s">
        <v>2969</v>
      </c>
      <c r="J44" s="39" t="s">
        <v>2969</v>
      </c>
    </row>
    <row r="45" spans="1:10" x14ac:dyDescent="0.25">
      <c r="A45" t="s">
        <v>2572</v>
      </c>
      <c r="I45" s="39" t="s">
        <v>2970</v>
      </c>
      <c r="J45" s="39" t="s">
        <v>2970</v>
      </c>
    </row>
    <row r="46" spans="1:10" x14ac:dyDescent="0.25">
      <c r="A46" t="s">
        <v>2573</v>
      </c>
      <c r="I46" s="39" t="s">
        <v>2971</v>
      </c>
      <c r="J46" s="39" t="s">
        <v>2971</v>
      </c>
    </row>
    <row r="47" spans="1:10" x14ac:dyDescent="0.25">
      <c r="A47" t="s">
        <v>2574</v>
      </c>
      <c r="I47" s="39" t="s">
        <v>2972</v>
      </c>
      <c r="J47" s="39" t="s">
        <v>2972</v>
      </c>
    </row>
    <row r="48" spans="1:10" x14ac:dyDescent="0.25">
      <c r="A48" t="s">
        <v>2575</v>
      </c>
      <c r="I48" s="39" t="s">
        <v>2973</v>
      </c>
      <c r="J48" s="39" t="s">
        <v>2973</v>
      </c>
    </row>
    <row r="49" spans="1:10" x14ac:dyDescent="0.25">
      <c r="A49" t="s">
        <v>2576</v>
      </c>
      <c r="I49" s="39" t="s">
        <v>2974</v>
      </c>
      <c r="J49" s="39" t="s">
        <v>2974</v>
      </c>
    </row>
    <row r="50" spans="1:10" x14ac:dyDescent="0.25">
      <c r="A50" t="s">
        <v>2577</v>
      </c>
      <c r="I50" s="39" t="s">
        <v>2975</v>
      </c>
      <c r="J50" s="39" t="s">
        <v>2975</v>
      </c>
    </row>
    <row r="51" spans="1:10" x14ac:dyDescent="0.25">
      <c r="A51" t="s">
        <v>2578</v>
      </c>
      <c r="I51" t="s">
        <v>2409</v>
      </c>
      <c r="J51" s="39" t="s">
        <v>2409</v>
      </c>
    </row>
    <row r="52" spans="1:10" x14ac:dyDescent="0.25">
      <c r="A52" t="s">
        <v>2579</v>
      </c>
      <c r="I52" s="39" t="s">
        <v>2448</v>
      </c>
      <c r="J52" s="39" t="s">
        <v>2448</v>
      </c>
    </row>
    <row r="53" spans="1:10" x14ac:dyDescent="0.25">
      <c r="A53" t="s">
        <v>2580</v>
      </c>
      <c r="I53" s="39" t="s">
        <v>2449</v>
      </c>
      <c r="J53" s="39" t="s">
        <v>2449</v>
      </c>
    </row>
    <row r="54" spans="1:10" x14ac:dyDescent="0.25">
      <c r="A54" t="s">
        <v>2581</v>
      </c>
      <c r="I54" s="39" t="s">
        <v>2450</v>
      </c>
      <c r="J54" s="39" t="s">
        <v>2450</v>
      </c>
    </row>
    <row r="55" spans="1:10" x14ac:dyDescent="0.25">
      <c r="A55" t="s">
        <v>2582</v>
      </c>
      <c r="I55" s="39" t="s">
        <v>2451</v>
      </c>
      <c r="J55" s="39" t="s">
        <v>2451</v>
      </c>
    </row>
    <row r="56" spans="1:10" x14ac:dyDescent="0.25">
      <c r="A56" t="s">
        <v>2583</v>
      </c>
      <c r="I56" s="39" t="s">
        <v>2976</v>
      </c>
      <c r="J56" s="39" t="s">
        <v>2976</v>
      </c>
    </row>
    <row r="57" spans="1:10" x14ac:dyDescent="0.25">
      <c r="A57" t="s">
        <v>2584</v>
      </c>
      <c r="I57" s="39" t="s">
        <v>2977</v>
      </c>
      <c r="J57" s="39" t="s">
        <v>2977</v>
      </c>
    </row>
    <row r="58" spans="1:10" x14ac:dyDescent="0.25">
      <c r="A58" t="s">
        <v>2585</v>
      </c>
      <c r="I58" s="39" t="s">
        <v>2978</v>
      </c>
      <c r="J58" s="39" t="s">
        <v>2978</v>
      </c>
    </row>
    <row r="59" spans="1:10" x14ac:dyDescent="0.25">
      <c r="A59" t="s">
        <v>2586</v>
      </c>
      <c r="I59" s="39" t="s">
        <v>2979</v>
      </c>
      <c r="J59" s="39" t="s">
        <v>2979</v>
      </c>
    </row>
    <row r="60" spans="1:10" x14ac:dyDescent="0.25">
      <c r="A60" t="s">
        <v>2587</v>
      </c>
      <c r="I60" s="39" t="s">
        <v>2980</v>
      </c>
      <c r="J60" s="39" t="s">
        <v>2980</v>
      </c>
    </row>
    <row r="61" spans="1:10" x14ac:dyDescent="0.25">
      <c r="A61" t="s">
        <v>2588</v>
      </c>
      <c r="I61" s="39" t="s">
        <v>2981</v>
      </c>
      <c r="J61" s="39" t="s">
        <v>2981</v>
      </c>
    </row>
    <row r="62" spans="1:10" x14ac:dyDescent="0.25">
      <c r="A62" t="s">
        <v>2589</v>
      </c>
      <c r="I62" s="39" t="s">
        <v>2982</v>
      </c>
      <c r="J62" s="39" t="s">
        <v>2982</v>
      </c>
    </row>
    <row r="63" spans="1:10" x14ac:dyDescent="0.25">
      <c r="A63" t="s">
        <v>2590</v>
      </c>
      <c r="I63" s="39" t="s">
        <v>2983</v>
      </c>
      <c r="J63" s="39" t="s">
        <v>2983</v>
      </c>
    </row>
    <row r="64" spans="1:10" x14ac:dyDescent="0.25">
      <c r="A64" t="s">
        <v>2591</v>
      </c>
      <c r="I64" s="39" t="s">
        <v>2452</v>
      </c>
      <c r="J64" s="39" t="s">
        <v>2452</v>
      </c>
    </row>
    <row r="65" spans="1:10" x14ac:dyDescent="0.25">
      <c r="A65" t="s">
        <v>2592</v>
      </c>
      <c r="I65" s="39" t="s">
        <v>2453</v>
      </c>
      <c r="J65" s="39" t="s">
        <v>2453</v>
      </c>
    </row>
    <row r="66" spans="1:10" x14ac:dyDescent="0.25">
      <c r="A66" t="s">
        <v>2593</v>
      </c>
      <c r="I66" s="39" t="s">
        <v>2454</v>
      </c>
      <c r="J66" s="39" t="s">
        <v>2454</v>
      </c>
    </row>
    <row r="67" spans="1:10" x14ac:dyDescent="0.25">
      <c r="A67" t="s">
        <v>2594</v>
      </c>
      <c r="I67" s="39" t="s">
        <v>2455</v>
      </c>
      <c r="J67" s="39" t="s">
        <v>2455</v>
      </c>
    </row>
    <row r="68" spans="1:10" x14ac:dyDescent="0.25">
      <c r="A68" t="s">
        <v>2595</v>
      </c>
      <c r="I68" s="39" t="s">
        <v>2984</v>
      </c>
      <c r="J68" s="39" t="s">
        <v>2984</v>
      </c>
    </row>
    <row r="69" spans="1:10" x14ac:dyDescent="0.25">
      <c r="A69" t="s">
        <v>2596</v>
      </c>
      <c r="I69" s="39" t="s">
        <v>2985</v>
      </c>
      <c r="J69" s="39" t="s">
        <v>2985</v>
      </c>
    </row>
    <row r="70" spans="1:10" x14ac:dyDescent="0.25">
      <c r="A70" t="s">
        <v>2597</v>
      </c>
      <c r="I70" s="39" t="s">
        <v>2986</v>
      </c>
      <c r="J70" s="39" t="s">
        <v>2986</v>
      </c>
    </row>
    <row r="71" spans="1:10" x14ac:dyDescent="0.25">
      <c r="A71" t="s">
        <v>2598</v>
      </c>
      <c r="I71" s="39" t="s">
        <v>2987</v>
      </c>
      <c r="J71" s="39" t="s">
        <v>2987</v>
      </c>
    </row>
    <row r="72" spans="1:10" x14ac:dyDescent="0.25">
      <c r="A72" t="s">
        <v>2599</v>
      </c>
      <c r="I72" s="39" t="s">
        <v>2988</v>
      </c>
      <c r="J72" s="39" t="s">
        <v>2988</v>
      </c>
    </row>
    <row r="73" spans="1:10" x14ac:dyDescent="0.25">
      <c r="A73" t="s">
        <v>2600</v>
      </c>
      <c r="I73" s="39" t="s">
        <v>2989</v>
      </c>
      <c r="J73" s="39" t="s">
        <v>2989</v>
      </c>
    </row>
    <row r="74" spans="1:10" x14ac:dyDescent="0.25">
      <c r="A74" t="s">
        <v>2601</v>
      </c>
      <c r="I74" s="39" t="s">
        <v>2990</v>
      </c>
      <c r="J74" s="39" t="s">
        <v>2990</v>
      </c>
    </row>
    <row r="75" spans="1:10" x14ac:dyDescent="0.25">
      <c r="A75" t="s">
        <v>2602</v>
      </c>
      <c r="I75" s="39" t="s">
        <v>2991</v>
      </c>
      <c r="J75" s="39" t="s">
        <v>2991</v>
      </c>
    </row>
    <row r="76" spans="1:10" x14ac:dyDescent="0.25">
      <c r="A76" t="s">
        <v>2603</v>
      </c>
      <c r="I76" s="39" t="s">
        <v>2992</v>
      </c>
      <c r="J76" s="39" t="s">
        <v>2992</v>
      </c>
    </row>
    <row r="77" spans="1:10" x14ac:dyDescent="0.25">
      <c r="A77" t="s">
        <v>2604</v>
      </c>
      <c r="I77" s="39" t="s">
        <v>2993</v>
      </c>
      <c r="J77" s="39" t="s">
        <v>2993</v>
      </c>
    </row>
    <row r="78" spans="1:10" x14ac:dyDescent="0.25">
      <c r="A78" t="s">
        <v>2605</v>
      </c>
      <c r="I78" s="39" t="s">
        <v>2994</v>
      </c>
      <c r="J78" s="39" t="s">
        <v>2994</v>
      </c>
    </row>
    <row r="79" spans="1:10" x14ac:dyDescent="0.25">
      <c r="A79" t="s">
        <v>2606</v>
      </c>
      <c r="I79" t="s">
        <v>10</v>
      </c>
      <c r="J79" s="39" t="s">
        <v>10</v>
      </c>
    </row>
    <row r="80" spans="1:10" x14ac:dyDescent="0.25">
      <c r="A80" t="s">
        <v>2607</v>
      </c>
      <c r="I80" t="s">
        <v>2867</v>
      </c>
      <c r="J80" s="39" t="s">
        <v>2867</v>
      </c>
    </row>
    <row r="81" spans="1:10" x14ac:dyDescent="0.25">
      <c r="A81" t="s">
        <v>2608</v>
      </c>
      <c r="I81" t="s">
        <v>2868</v>
      </c>
      <c r="J81" s="39" t="s">
        <v>3103</v>
      </c>
    </row>
    <row r="82" spans="1:10" x14ac:dyDescent="0.25">
      <c r="A82" t="s">
        <v>2609</v>
      </c>
      <c r="I82" t="s">
        <v>2869</v>
      </c>
      <c r="J82" s="39" t="s">
        <v>3104</v>
      </c>
    </row>
    <row r="83" spans="1:10" x14ac:dyDescent="0.25">
      <c r="A83" t="s">
        <v>2610</v>
      </c>
      <c r="I83" s="39" t="s">
        <v>2928</v>
      </c>
      <c r="J83" s="39" t="s">
        <v>3105</v>
      </c>
    </row>
    <row r="84" spans="1:10" x14ac:dyDescent="0.25">
      <c r="A84" t="s">
        <v>2611</v>
      </c>
      <c r="I84" s="39" t="s">
        <v>2929</v>
      </c>
      <c r="J84" s="39" t="s">
        <v>3106</v>
      </c>
    </row>
    <row r="85" spans="1:10" x14ac:dyDescent="0.25">
      <c r="A85" t="s">
        <v>2612</v>
      </c>
      <c r="I85" t="s">
        <v>2870</v>
      </c>
      <c r="J85" s="39" t="s">
        <v>3107</v>
      </c>
    </row>
    <row r="86" spans="1:10" x14ac:dyDescent="0.25">
      <c r="A86" t="s">
        <v>2613</v>
      </c>
      <c r="I86" t="s">
        <v>2871</v>
      </c>
      <c r="J86" s="39" t="s">
        <v>3108</v>
      </c>
    </row>
    <row r="87" spans="1:10" x14ac:dyDescent="0.25">
      <c r="A87" t="s">
        <v>2614</v>
      </c>
      <c r="I87" t="s">
        <v>2872</v>
      </c>
      <c r="J87" s="39" t="s">
        <v>3109</v>
      </c>
    </row>
    <row r="88" spans="1:10" x14ac:dyDescent="0.25">
      <c r="A88" t="s">
        <v>2615</v>
      </c>
      <c r="I88" t="s">
        <v>2873</v>
      </c>
      <c r="J88" s="39" t="s">
        <v>3110</v>
      </c>
    </row>
    <row r="89" spans="1:10" x14ac:dyDescent="0.25">
      <c r="A89" t="s">
        <v>2616</v>
      </c>
      <c r="I89" t="s">
        <v>2874</v>
      </c>
      <c r="J89" s="39" t="s">
        <v>3111</v>
      </c>
    </row>
    <row r="90" spans="1:10" x14ac:dyDescent="0.25">
      <c r="A90" t="s">
        <v>2617</v>
      </c>
      <c r="I90" t="s">
        <v>2875</v>
      </c>
      <c r="J90" s="39" t="s">
        <v>3112</v>
      </c>
    </row>
    <row r="91" spans="1:10" x14ac:dyDescent="0.25">
      <c r="A91" t="s">
        <v>2618</v>
      </c>
      <c r="I91" t="s">
        <v>2876</v>
      </c>
      <c r="J91" s="39" t="s">
        <v>3113</v>
      </c>
    </row>
    <row r="92" spans="1:10" x14ac:dyDescent="0.25">
      <c r="A92" t="s">
        <v>2619</v>
      </c>
      <c r="I92" s="39" t="s">
        <v>2930</v>
      </c>
      <c r="J92" s="39" t="s">
        <v>3114</v>
      </c>
    </row>
    <row r="93" spans="1:10" x14ac:dyDescent="0.25">
      <c r="A93" t="s">
        <v>2620</v>
      </c>
      <c r="I93" s="39" t="s">
        <v>2931</v>
      </c>
      <c r="J93" s="39" t="s">
        <v>3115</v>
      </c>
    </row>
    <row r="94" spans="1:10" x14ac:dyDescent="0.25">
      <c r="A94" t="s">
        <v>2621</v>
      </c>
      <c r="I94" t="s">
        <v>2877</v>
      </c>
      <c r="J94" s="39" t="s">
        <v>3116</v>
      </c>
    </row>
    <row r="95" spans="1:10" x14ac:dyDescent="0.25">
      <c r="A95" t="s">
        <v>2622</v>
      </c>
      <c r="I95" t="s">
        <v>2878</v>
      </c>
      <c r="J95" s="39" t="s">
        <v>3117</v>
      </c>
    </row>
    <row r="96" spans="1:10" x14ac:dyDescent="0.25">
      <c r="A96" t="s">
        <v>2623</v>
      </c>
      <c r="I96" t="s">
        <v>2879</v>
      </c>
      <c r="J96" s="39" t="s">
        <v>3118</v>
      </c>
    </row>
    <row r="97" spans="1:10" x14ac:dyDescent="0.25">
      <c r="A97" t="s">
        <v>2624</v>
      </c>
      <c r="I97" t="s">
        <v>2880</v>
      </c>
      <c r="J97" s="39" t="s">
        <v>3119</v>
      </c>
    </row>
    <row r="98" spans="1:10" x14ac:dyDescent="0.25">
      <c r="A98" t="s">
        <v>2625</v>
      </c>
      <c r="I98" t="s">
        <v>2881</v>
      </c>
      <c r="J98" s="39" t="s">
        <v>3120</v>
      </c>
    </row>
    <row r="99" spans="1:10" x14ac:dyDescent="0.25">
      <c r="A99" t="s">
        <v>2626</v>
      </c>
      <c r="I99" t="s">
        <v>2882</v>
      </c>
      <c r="J99" s="39" t="s">
        <v>3121</v>
      </c>
    </row>
    <row r="100" spans="1:10" x14ac:dyDescent="0.25">
      <c r="A100" t="s">
        <v>2627</v>
      </c>
      <c r="I100" t="s">
        <v>2883</v>
      </c>
      <c r="J100" s="39" t="s">
        <v>3122</v>
      </c>
    </row>
    <row r="101" spans="1:10" x14ac:dyDescent="0.25">
      <c r="A101" t="s">
        <v>2628</v>
      </c>
      <c r="I101" s="39" t="s">
        <v>2932</v>
      </c>
      <c r="J101" s="39" t="s">
        <v>3123</v>
      </c>
    </row>
    <row r="102" spans="1:10" x14ac:dyDescent="0.25">
      <c r="A102" t="s">
        <v>2629</v>
      </c>
      <c r="I102" s="39" t="s">
        <v>2933</v>
      </c>
      <c r="J102" s="39" t="s">
        <v>3124</v>
      </c>
    </row>
    <row r="103" spans="1:10" x14ac:dyDescent="0.25">
      <c r="A103" t="s">
        <v>2630</v>
      </c>
      <c r="I103" t="s">
        <v>2884</v>
      </c>
      <c r="J103" s="39" t="s">
        <v>3125</v>
      </c>
    </row>
    <row r="104" spans="1:10" x14ac:dyDescent="0.25">
      <c r="A104" t="s">
        <v>2631</v>
      </c>
      <c r="I104" t="s">
        <v>2885</v>
      </c>
      <c r="J104" s="39" t="s">
        <v>3126</v>
      </c>
    </row>
    <row r="105" spans="1:10" x14ac:dyDescent="0.25">
      <c r="A105" t="s">
        <v>2632</v>
      </c>
      <c r="I105" t="s">
        <v>2886</v>
      </c>
      <c r="J105" s="39" t="s">
        <v>3127</v>
      </c>
    </row>
    <row r="106" spans="1:10" x14ac:dyDescent="0.25">
      <c r="A106" t="s">
        <v>2633</v>
      </c>
      <c r="I106" t="s">
        <v>2887</v>
      </c>
      <c r="J106" s="39" t="s">
        <v>3128</v>
      </c>
    </row>
    <row r="107" spans="1:10" x14ac:dyDescent="0.25">
      <c r="A107" t="s">
        <v>2634</v>
      </c>
      <c r="I107" t="s">
        <v>2888</v>
      </c>
      <c r="J107" s="39" t="s">
        <v>3129</v>
      </c>
    </row>
    <row r="108" spans="1:10" x14ac:dyDescent="0.25">
      <c r="A108" t="s">
        <v>2635</v>
      </c>
      <c r="I108" t="s">
        <v>2889</v>
      </c>
      <c r="J108" s="39" t="s">
        <v>2889</v>
      </c>
    </row>
    <row r="109" spans="1:10" x14ac:dyDescent="0.25">
      <c r="A109" t="s">
        <v>2636</v>
      </c>
      <c r="I109" s="39" t="s">
        <v>2934</v>
      </c>
      <c r="J109" s="39" t="s">
        <v>2934</v>
      </c>
    </row>
    <row r="110" spans="1:10" x14ac:dyDescent="0.25">
      <c r="A110" t="s">
        <v>2637</v>
      </c>
      <c r="I110" s="39" t="s">
        <v>2935</v>
      </c>
      <c r="J110" s="39" t="s">
        <v>2935</v>
      </c>
    </row>
    <row r="111" spans="1:10" x14ac:dyDescent="0.25">
      <c r="A111" t="s">
        <v>2638</v>
      </c>
      <c r="I111" t="s">
        <v>2890</v>
      </c>
      <c r="J111" s="39" t="s">
        <v>2890</v>
      </c>
    </row>
    <row r="112" spans="1:10" x14ac:dyDescent="0.25">
      <c r="A112" t="s">
        <v>2639</v>
      </c>
      <c r="I112" t="s">
        <v>2891</v>
      </c>
      <c r="J112" s="39" t="s">
        <v>2891</v>
      </c>
    </row>
    <row r="113" spans="1:10" x14ac:dyDescent="0.25">
      <c r="A113" t="s">
        <v>2640</v>
      </c>
      <c r="I113" t="s">
        <v>11</v>
      </c>
      <c r="J113" s="39" t="s">
        <v>11</v>
      </c>
    </row>
    <row r="114" spans="1:10" x14ac:dyDescent="0.25">
      <c r="A114" t="s">
        <v>2641</v>
      </c>
      <c r="I114" t="s">
        <v>2892</v>
      </c>
      <c r="J114" s="39" t="s">
        <v>2892</v>
      </c>
    </row>
    <row r="115" spans="1:10" x14ac:dyDescent="0.25">
      <c r="A115" t="s">
        <v>2642</v>
      </c>
      <c r="I115" t="s">
        <v>2893</v>
      </c>
      <c r="J115" s="39" t="s">
        <v>2893</v>
      </c>
    </row>
    <row r="116" spans="1:10" x14ac:dyDescent="0.25">
      <c r="A116" t="s">
        <v>2643</v>
      </c>
      <c r="I116" t="s">
        <v>2894</v>
      </c>
      <c r="J116" s="39" t="s">
        <v>2894</v>
      </c>
    </row>
    <row r="117" spans="1:10" x14ac:dyDescent="0.25">
      <c r="A117" t="s">
        <v>2644</v>
      </c>
      <c r="I117" t="s">
        <v>2895</v>
      </c>
      <c r="J117" s="39" t="s">
        <v>2895</v>
      </c>
    </row>
    <row r="118" spans="1:10" x14ac:dyDescent="0.25">
      <c r="A118" t="s">
        <v>2645</v>
      </c>
      <c r="I118" t="s">
        <v>2400</v>
      </c>
      <c r="J118" s="39" t="s">
        <v>2400</v>
      </c>
    </row>
    <row r="119" spans="1:10" x14ac:dyDescent="0.25">
      <c r="A119" t="s">
        <v>2646</v>
      </c>
      <c r="I119" t="s">
        <v>2401</v>
      </c>
      <c r="J119" s="39" t="s">
        <v>2401</v>
      </c>
    </row>
    <row r="120" spans="1:10" x14ac:dyDescent="0.25">
      <c r="A120" t="s">
        <v>2647</v>
      </c>
      <c r="I120" t="s">
        <v>2412</v>
      </c>
      <c r="J120" s="39" t="s">
        <v>2412</v>
      </c>
    </row>
    <row r="121" spans="1:10" x14ac:dyDescent="0.25">
      <c r="A121" t="s">
        <v>2648</v>
      </c>
      <c r="I121" t="s">
        <v>2896</v>
      </c>
      <c r="J121" s="39" t="s">
        <v>2896</v>
      </c>
    </row>
    <row r="122" spans="1:10" x14ac:dyDescent="0.25">
      <c r="A122" t="s">
        <v>2649</v>
      </c>
      <c r="I122" t="s">
        <v>2413</v>
      </c>
      <c r="J122" s="39" t="s">
        <v>2413</v>
      </c>
    </row>
    <row r="123" spans="1:10" x14ac:dyDescent="0.25">
      <c r="A123" t="s">
        <v>2650</v>
      </c>
      <c r="I123" t="s">
        <v>2414</v>
      </c>
      <c r="J123" s="39" t="s">
        <v>2414</v>
      </c>
    </row>
    <row r="124" spans="1:10" x14ac:dyDescent="0.25">
      <c r="A124" t="s">
        <v>2651</v>
      </c>
      <c r="I124" t="s">
        <v>2415</v>
      </c>
      <c r="J124" s="39" t="s">
        <v>2415</v>
      </c>
    </row>
    <row r="125" spans="1:10" x14ac:dyDescent="0.25">
      <c r="A125" t="s">
        <v>2652</v>
      </c>
      <c r="I125" s="39" t="s">
        <v>2995</v>
      </c>
      <c r="J125" s="39" t="s">
        <v>2995</v>
      </c>
    </row>
    <row r="126" spans="1:10" x14ac:dyDescent="0.25">
      <c r="A126" t="s">
        <v>2653</v>
      </c>
      <c r="I126" s="39" t="s">
        <v>2996</v>
      </c>
      <c r="J126" s="39" t="s">
        <v>2996</v>
      </c>
    </row>
    <row r="127" spans="1:10" x14ac:dyDescent="0.25">
      <c r="A127" t="s">
        <v>2654</v>
      </c>
      <c r="I127" s="39" t="s">
        <v>2496</v>
      </c>
      <c r="J127" s="39" t="s">
        <v>2496</v>
      </c>
    </row>
    <row r="128" spans="1:10" x14ac:dyDescent="0.25">
      <c r="A128" t="s">
        <v>2655</v>
      </c>
      <c r="I128" s="39" t="s">
        <v>2497</v>
      </c>
      <c r="J128" s="39" t="s">
        <v>2497</v>
      </c>
    </row>
    <row r="129" spans="1:10" x14ac:dyDescent="0.25">
      <c r="A129" t="s">
        <v>2656</v>
      </c>
      <c r="I129" s="39" t="s">
        <v>2498</v>
      </c>
      <c r="J129" s="39" t="s">
        <v>2498</v>
      </c>
    </row>
    <row r="130" spans="1:10" x14ac:dyDescent="0.25">
      <c r="A130" t="s">
        <v>2657</v>
      </c>
      <c r="I130" s="39" t="s">
        <v>2499</v>
      </c>
      <c r="J130" s="39" t="s">
        <v>2499</v>
      </c>
    </row>
    <row r="131" spans="1:10" x14ac:dyDescent="0.25">
      <c r="A131" t="s">
        <v>2658</v>
      </c>
      <c r="I131" t="s">
        <v>2897</v>
      </c>
      <c r="J131" s="39" t="s">
        <v>2897</v>
      </c>
    </row>
    <row r="132" spans="1:10" x14ac:dyDescent="0.25">
      <c r="A132" t="s">
        <v>2659</v>
      </c>
      <c r="I132" t="s">
        <v>2418</v>
      </c>
      <c r="J132" s="39" t="s">
        <v>2418</v>
      </c>
    </row>
    <row r="133" spans="1:10" x14ac:dyDescent="0.25">
      <c r="A133" t="s">
        <v>2660</v>
      </c>
      <c r="I133" t="s">
        <v>2419</v>
      </c>
      <c r="J133" s="39" t="s">
        <v>2419</v>
      </c>
    </row>
    <row r="134" spans="1:10" x14ac:dyDescent="0.25">
      <c r="A134" t="s">
        <v>2661</v>
      </c>
      <c r="I134" t="s">
        <v>2420</v>
      </c>
      <c r="J134" s="39" t="s">
        <v>2420</v>
      </c>
    </row>
    <row r="135" spans="1:10" x14ac:dyDescent="0.25">
      <c r="A135" t="s">
        <v>2662</v>
      </c>
      <c r="I135" t="s">
        <v>2421</v>
      </c>
      <c r="J135" s="39" t="s">
        <v>2421</v>
      </c>
    </row>
    <row r="136" spans="1:10" x14ac:dyDescent="0.25">
      <c r="A136" t="s">
        <v>2663</v>
      </c>
      <c r="I136" t="s">
        <v>2898</v>
      </c>
      <c r="J136" s="39" t="s">
        <v>2898</v>
      </c>
    </row>
    <row r="137" spans="1:10" x14ac:dyDescent="0.25">
      <c r="A137" t="s">
        <v>2664</v>
      </c>
      <c r="I137" t="s">
        <v>2422</v>
      </c>
      <c r="J137" s="39" t="s">
        <v>2422</v>
      </c>
    </row>
    <row r="138" spans="1:10" x14ac:dyDescent="0.25">
      <c r="A138" t="s">
        <v>2665</v>
      </c>
      <c r="I138" s="39" t="s">
        <v>2520</v>
      </c>
      <c r="J138" s="39" t="s">
        <v>2520</v>
      </c>
    </row>
    <row r="139" spans="1:10" x14ac:dyDescent="0.25">
      <c r="A139" t="s">
        <v>2666</v>
      </c>
      <c r="I139" s="39" t="s">
        <v>2521</v>
      </c>
      <c r="J139" s="39" t="s">
        <v>2521</v>
      </c>
    </row>
    <row r="140" spans="1:10" x14ac:dyDescent="0.25">
      <c r="A140" t="s">
        <v>2667</v>
      </c>
      <c r="I140" s="39" t="s">
        <v>2522</v>
      </c>
      <c r="J140" s="39" t="s">
        <v>2522</v>
      </c>
    </row>
    <row r="141" spans="1:10" x14ac:dyDescent="0.25">
      <c r="A141" t="s">
        <v>2668</v>
      </c>
      <c r="I141" s="39" t="s">
        <v>2523</v>
      </c>
      <c r="J141" s="39" t="s">
        <v>2523</v>
      </c>
    </row>
    <row r="142" spans="1:10" x14ac:dyDescent="0.25">
      <c r="A142" t="s">
        <v>2669</v>
      </c>
      <c r="I142" s="39" t="s">
        <v>2997</v>
      </c>
      <c r="J142" s="39" t="s">
        <v>2997</v>
      </c>
    </row>
    <row r="143" spans="1:10" x14ac:dyDescent="0.25">
      <c r="A143" t="s">
        <v>2670</v>
      </c>
      <c r="I143" s="39" t="s">
        <v>2998</v>
      </c>
      <c r="J143" s="39" t="s">
        <v>2998</v>
      </c>
    </row>
    <row r="144" spans="1:10" x14ac:dyDescent="0.25">
      <c r="A144" t="s">
        <v>2671</v>
      </c>
      <c r="I144" s="39" t="s">
        <v>2999</v>
      </c>
      <c r="J144" s="39" t="s">
        <v>2999</v>
      </c>
    </row>
    <row r="145" spans="1:10" x14ac:dyDescent="0.25">
      <c r="A145" t="s">
        <v>2672</v>
      </c>
      <c r="I145" s="39" t="s">
        <v>3000</v>
      </c>
      <c r="J145" s="39" t="s">
        <v>3000</v>
      </c>
    </row>
    <row r="146" spans="1:10" x14ac:dyDescent="0.25">
      <c r="A146" t="s">
        <v>2673</v>
      </c>
      <c r="I146" s="39" t="s">
        <v>3001</v>
      </c>
      <c r="J146" s="39" t="s">
        <v>3001</v>
      </c>
    </row>
    <row r="147" spans="1:10" x14ac:dyDescent="0.25">
      <c r="A147" t="s">
        <v>2674</v>
      </c>
      <c r="I147" s="39" t="s">
        <v>3002</v>
      </c>
      <c r="J147" s="39" t="s">
        <v>3002</v>
      </c>
    </row>
    <row r="148" spans="1:10" x14ac:dyDescent="0.25">
      <c r="A148" t="s">
        <v>2675</v>
      </c>
      <c r="I148" s="39" t="s">
        <v>3003</v>
      </c>
      <c r="J148" s="39" t="s">
        <v>3003</v>
      </c>
    </row>
    <row r="149" spans="1:10" x14ac:dyDescent="0.25">
      <c r="A149" t="s">
        <v>2676</v>
      </c>
      <c r="I149" s="39" t="s">
        <v>3004</v>
      </c>
      <c r="J149" s="39" t="s">
        <v>3004</v>
      </c>
    </row>
    <row r="150" spans="1:10" x14ac:dyDescent="0.25">
      <c r="A150" t="s">
        <v>2677</v>
      </c>
      <c r="I150" s="39" t="s">
        <v>3005</v>
      </c>
      <c r="J150" s="39" t="s">
        <v>3005</v>
      </c>
    </row>
    <row r="151" spans="1:10" x14ac:dyDescent="0.25">
      <c r="A151" t="s">
        <v>2678</v>
      </c>
      <c r="I151" s="39" t="s">
        <v>3006</v>
      </c>
      <c r="J151" s="39" t="s">
        <v>3006</v>
      </c>
    </row>
    <row r="152" spans="1:10" x14ac:dyDescent="0.25">
      <c r="A152" t="s">
        <v>2679</v>
      </c>
      <c r="I152" s="39" t="s">
        <v>3007</v>
      </c>
      <c r="J152" s="39" t="s">
        <v>3007</v>
      </c>
    </row>
    <row r="153" spans="1:10" x14ac:dyDescent="0.25">
      <c r="A153" t="s">
        <v>2680</v>
      </c>
      <c r="I153" s="39" t="s">
        <v>3008</v>
      </c>
      <c r="J153" s="39" t="s">
        <v>3008</v>
      </c>
    </row>
    <row r="154" spans="1:10" x14ac:dyDescent="0.25">
      <c r="A154" t="s">
        <v>2681</v>
      </c>
      <c r="I154" s="39" t="s">
        <v>3009</v>
      </c>
      <c r="J154" s="39" t="s">
        <v>3009</v>
      </c>
    </row>
    <row r="155" spans="1:10" x14ac:dyDescent="0.25">
      <c r="A155" t="s">
        <v>2682</v>
      </c>
      <c r="I155" s="39" t="s">
        <v>3010</v>
      </c>
      <c r="J155" s="39" t="s">
        <v>3010</v>
      </c>
    </row>
    <row r="156" spans="1:10" x14ac:dyDescent="0.25">
      <c r="A156" t="s">
        <v>2683</v>
      </c>
      <c r="I156" s="39" t="s">
        <v>3011</v>
      </c>
      <c r="J156" s="39" t="s">
        <v>3011</v>
      </c>
    </row>
    <row r="157" spans="1:10" x14ac:dyDescent="0.25">
      <c r="A157" t="s">
        <v>2684</v>
      </c>
      <c r="I157" s="39" t="s">
        <v>3012</v>
      </c>
      <c r="J157" s="39" t="s">
        <v>3012</v>
      </c>
    </row>
    <row r="158" spans="1:10" x14ac:dyDescent="0.25">
      <c r="A158" t="s">
        <v>2685</v>
      </c>
      <c r="I158" s="39" t="s">
        <v>3013</v>
      </c>
      <c r="J158" s="39" t="s">
        <v>3013</v>
      </c>
    </row>
    <row r="159" spans="1:10" x14ac:dyDescent="0.25">
      <c r="A159" t="s">
        <v>2686</v>
      </c>
      <c r="I159" s="39" t="s">
        <v>3014</v>
      </c>
      <c r="J159" s="39" t="s">
        <v>3014</v>
      </c>
    </row>
    <row r="160" spans="1:10" x14ac:dyDescent="0.25">
      <c r="A160" t="s">
        <v>2687</v>
      </c>
      <c r="I160" s="39" t="s">
        <v>3015</v>
      </c>
      <c r="J160" s="39" t="s">
        <v>3015</v>
      </c>
    </row>
    <row r="161" spans="1:10" x14ac:dyDescent="0.25">
      <c r="A161" t="s">
        <v>2688</v>
      </c>
      <c r="I161" s="39" t="s">
        <v>3016</v>
      </c>
      <c r="J161" s="39" t="s">
        <v>3016</v>
      </c>
    </row>
    <row r="162" spans="1:10" x14ac:dyDescent="0.25">
      <c r="A162" t="s">
        <v>2689</v>
      </c>
      <c r="I162" s="39" t="s">
        <v>3017</v>
      </c>
      <c r="J162" s="39" t="s">
        <v>3017</v>
      </c>
    </row>
    <row r="163" spans="1:10" x14ac:dyDescent="0.25">
      <c r="A163" t="s">
        <v>2690</v>
      </c>
      <c r="I163" s="39" t="s">
        <v>3018</v>
      </c>
      <c r="J163" s="39" t="s">
        <v>3018</v>
      </c>
    </row>
    <row r="164" spans="1:10" x14ac:dyDescent="0.25">
      <c r="A164" t="s">
        <v>2691</v>
      </c>
      <c r="I164" s="39" t="s">
        <v>3019</v>
      </c>
      <c r="J164" s="39" t="s">
        <v>3019</v>
      </c>
    </row>
    <row r="165" spans="1:10" x14ac:dyDescent="0.25">
      <c r="A165" t="s">
        <v>2692</v>
      </c>
      <c r="I165" s="39" t="s">
        <v>3020</v>
      </c>
      <c r="J165" s="39" t="s">
        <v>3020</v>
      </c>
    </row>
    <row r="166" spans="1:10" x14ac:dyDescent="0.25">
      <c r="A166" t="s">
        <v>2693</v>
      </c>
      <c r="I166" s="39" t="s">
        <v>3021</v>
      </c>
      <c r="J166" s="39" t="s">
        <v>3021</v>
      </c>
    </row>
    <row r="167" spans="1:10" x14ac:dyDescent="0.25">
      <c r="A167" t="s">
        <v>2694</v>
      </c>
      <c r="I167" s="39" t="s">
        <v>3022</v>
      </c>
      <c r="J167" s="39" t="s">
        <v>3022</v>
      </c>
    </row>
    <row r="168" spans="1:10" x14ac:dyDescent="0.25">
      <c r="A168" t="s">
        <v>2695</v>
      </c>
      <c r="I168" s="39" t="s">
        <v>3023</v>
      </c>
      <c r="J168" s="39" t="s">
        <v>3023</v>
      </c>
    </row>
    <row r="169" spans="1:10" x14ac:dyDescent="0.25">
      <c r="A169" t="s">
        <v>2696</v>
      </c>
      <c r="I169" s="39" t="s">
        <v>3024</v>
      </c>
      <c r="J169" s="39" t="s">
        <v>3024</v>
      </c>
    </row>
    <row r="170" spans="1:10" x14ac:dyDescent="0.25">
      <c r="A170" t="s">
        <v>2697</v>
      </c>
      <c r="I170" t="s">
        <v>2848</v>
      </c>
      <c r="J170" s="39" t="s">
        <v>2848</v>
      </c>
    </row>
    <row r="171" spans="1:10" x14ac:dyDescent="0.25">
      <c r="A171" t="s">
        <v>2698</v>
      </c>
      <c r="I171" t="s">
        <v>2849</v>
      </c>
      <c r="J171" s="39" t="s">
        <v>2849</v>
      </c>
    </row>
    <row r="172" spans="1:10" x14ac:dyDescent="0.25">
      <c r="A172" t="s">
        <v>2699</v>
      </c>
      <c r="I172" t="s">
        <v>2850</v>
      </c>
      <c r="J172" s="39" t="s">
        <v>2850</v>
      </c>
    </row>
    <row r="173" spans="1:10" x14ac:dyDescent="0.25">
      <c r="A173" t="s">
        <v>2700</v>
      </c>
      <c r="I173" s="39" t="s">
        <v>3025</v>
      </c>
      <c r="J173" s="39" t="s">
        <v>3025</v>
      </c>
    </row>
    <row r="174" spans="1:10" x14ac:dyDescent="0.25">
      <c r="A174" t="s">
        <v>2701</v>
      </c>
      <c r="I174" s="39" t="s">
        <v>3026</v>
      </c>
      <c r="J174" s="39" t="s">
        <v>3026</v>
      </c>
    </row>
    <row r="175" spans="1:10" x14ac:dyDescent="0.25">
      <c r="A175" t="s">
        <v>2702</v>
      </c>
      <c r="I175" s="39" t="s">
        <v>3027</v>
      </c>
      <c r="J175" s="39" t="s">
        <v>3027</v>
      </c>
    </row>
    <row r="176" spans="1:10" x14ac:dyDescent="0.25">
      <c r="A176" t="s">
        <v>2703</v>
      </c>
      <c r="I176" s="39" t="s">
        <v>3028</v>
      </c>
      <c r="J176" s="39" t="s">
        <v>3028</v>
      </c>
    </row>
    <row r="177" spans="1:10" x14ac:dyDescent="0.25">
      <c r="A177" t="s">
        <v>2704</v>
      </c>
      <c r="I177" s="39" t="s">
        <v>3029</v>
      </c>
      <c r="J177" s="39" t="s">
        <v>3029</v>
      </c>
    </row>
    <row r="178" spans="1:10" x14ac:dyDescent="0.25">
      <c r="A178" t="s">
        <v>2705</v>
      </c>
      <c r="I178" s="39" t="s">
        <v>3030</v>
      </c>
      <c r="J178" s="39" t="s">
        <v>3030</v>
      </c>
    </row>
    <row r="179" spans="1:10" x14ac:dyDescent="0.25">
      <c r="A179" t="s">
        <v>2706</v>
      </c>
      <c r="I179" s="39" t="s">
        <v>3031</v>
      </c>
      <c r="J179" s="39" t="s">
        <v>3031</v>
      </c>
    </row>
    <row r="180" spans="1:10" x14ac:dyDescent="0.25">
      <c r="A180" t="s">
        <v>2707</v>
      </c>
      <c r="I180" s="39" t="s">
        <v>3032</v>
      </c>
      <c r="J180" s="39" t="s">
        <v>3032</v>
      </c>
    </row>
    <row r="181" spans="1:10" x14ac:dyDescent="0.25">
      <c r="A181" t="s">
        <v>2708</v>
      </c>
      <c r="I181" s="39" t="s">
        <v>3033</v>
      </c>
      <c r="J181" s="39" t="s">
        <v>3033</v>
      </c>
    </row>
    <row r="182" spans="1:10" x14ac:dyDescent="0.25">
      <c r="A182" t="s">
        <v>2709</v>
      </c>
      <c r="I182" s="39" t="s">
        <v>3034</v>
      </c>
      <c r="J182" s="39" t="s">
        <v>3034</v>
      </c>
    </row>
    <row r="183" spans="1:10" x14ac:dyDescent="0.25">
      <c r="A183" t="s">
        <v>2710</v>
      </c>
      <c r="I183" s="39" t="s">
        <v>2936</v>
      </c>
      <c r="J183" s="39" t="s">
        <v>2936</v>
      </c>
    </row>
    <row r="184" spans="1:10" x14ac:dyDescent="0.25">
      <c r="A184" t="s">
        <v>2711</v>
      </c>
      <c r="I184" s="39" t="s">
        <v>2937</v>
      </c>
      <c r="J184" s="39" t="s">
        <v>2937</v>
      </c>
    </row>
    <row r="185" spans="1:10" x14ac:dyDescent="0.25">
      <c r="A185" t="s">
        <v>2712</v>
      </c>
      <c r="I185" s="39" t="s">
        <v>2938</v>
      </c>
      <c r="J185" s="39" t="s">
        <v>2938</v>
      </c>
    </row>
    <row r="186" spans="1:10" x14ac:dyDescent="0.25">
      <c r="A186" t="s">
        <v>2713</v>
      </c>
      <c r="I186" s="39" t="s">
        <v>2939</v>
      </c>
      <c r="J186" s="39" t="s">
        <v>2939</v>
      </c>
    </row>
    <row r="187" spans="1:10" x14ac:dyDescent="0.25">
      <c r="A187" t="s">
        <v>2714</v>
      </c>
      <c r="I187" s="39" t="s">
        <v>2940</v>
      </c>
      <c r="J187" s="39" t="s">
        <v>2940</v>
      </c>
    </row>
    <row r="188" spans="1:10" x14ac:dyDescent="0.25">
      <c r="A188" t="s">
        <v>2715</v>
      </c>
      <c r="I188" s="39" t="s">
        <v>2941</v>
      </c>
      <c r="J188" s="39" t="s">
        <v>2941</v>
      </c>
    </row>
    <row r="189" spans="1:10" x14ac:dyDescent="0.25">
      <c r="A189" t="s">
        <v>2716</v>
      </c>
      <c r="I189" s="39" t="s">
        <v>2942</v>
      </c>
      <c r="J189" s="39" t="s">
        <v>2942</v>
      </c>
    </row>
    <row r="190" spans="1:10" x14ac:dyDescent="0.25">
      <c r="A190" t="s">
        <v>2717</v>
      </c>
      <c r="I190" s="39" t="s">
        <v>2943</v>
      </c>
      <c r="J190" s="39" t="s">
        <v>2943</v>
      </c>
    </row>
    <row r="191" spans="1:10" x14ac:dyDescent="0.25">
      <c r="A191" t="s">
        <v>2718</v>
      </c>
      <c r="I191" s="39" t="s">
        <v>2944</v>
      </c>
      <c r="J191" s="39" t="s">
        <v>2944</v>
      </c>
    </row>
    <row r="192" spans="1:10" x14ac:dyDescent="0.25">
      <c r="A192" t="s">
        <v>2719</v>
      </c>
      <c r="I192" s="39" t="s">
        <v>2945</v>
      </c>
      <c r="J192" s="39" t="s">
        <v>2945</v>
      </c>
    </row>
    <row r="193" spans="1:10" x14ac:dyDescent="0.25">
      <c r="A193" t="s">
        <v>2720</v>
      </c>
      <c r="I193" s="39" t="s">
        <v>2946</v>
      </c>
      <c r="J193" s="39" t="s">
        <v>2946</v>
      </c>
    </row>
    <row r="194" spans="1:10" x14ac:dyDescent="0.25">
      <c r="A194" t="s">
        <v>2721</v>
      </c>
      <c r="I194" s="39" t="s">
        <v>2947</v>
      </c>
      <c r="J194" s="39" t="s">
        <v>2947</v>
      </c>
    </row>
    <row r="195" spans="1:10" x14ac:dyDescent="0.25">
      <c r="A195" t="s">
        <v>2722</v>
      </c>
      <c r="I195" s="39" t="s">
        <v>2948</v>
      </c>
      <c r="J195" s="39" t="s">
        <v>2948</v>
      </c>
    </row>
    <row r="196" spans="1:10" x14ac:dyDescent="0.25">
      <c r="A196" t="s">
        <v>2723</v>
      </c>
      <c r="I196" s="39" t="s">
        <v>2949</v>
      </c>
      <c r="J196" s="39" t="s">
        <v>2949</v>
      </c>
    </row>
    <row r="197" spans="1:10" x14ac:dyDescent="0.25">
      <c r="A197" t="s">
        <v>2724</v>
      </c>
      <c r="I197" s="39" t="s">
        <v>2950</v>
      </c>
      <c r="J197" s="39" t="s">
        <v>2950</v>
      </c>
    </row>
    <row r="198" spans="1:10" x14ac:dyDescent="0.25">
      <c r="A198" t="s">
        <v>2725</v>
      </c>
      <c r="I198" s="39" t="s">
        <v>2951</v>
      </c>
      <c r="J198" s="39" t="s">
        <v>2951</v>
      </c>
    </row>
    <row r="199" spans="1:10" x14ac:dyDescent="0.25">
      <c r="A199" t="s">
        <v>2726</v>
      </c>
      <c r="I199" s="39" t="s">
        <v>2952</v>
      </c>
      <c r="J199" s="39" t="s">
        <v>2952</v>
      </c>
    </row>
    <row r="200" spans="1:10" x14ac:dyDescent="0.25">
      <c r="A200" t="s">
        <v>2727</v>
      </c>
      <c r="I200" s="39" t="s">
        <v>2953</v>
      </c>
      <c r="J200" s="39" t="s">
        <v>2953</v>
      </c>
    </row>
    <row r="201" spans="1:10" x14ac:dyDescent="0.25">
      <c r="A201" t="s">
        <v>2728</v>
      </c>
      <c r="I201" s="39" t="s">
        <v>2954</v>
      </c>
      <c r="J201" s="39" t="s">
        <v>2954</v>
      </c>
    </row>
    <row r="202" spans="1:10" x14ac:dyDescent="0.25">
      <c r="A202" t="s">
        <v>2729</v>
      </c>
      <c r="I202" s="39" t="s">
        <v>2955</v>
      </c>
      <c r="J202" s="39" t="s">
        <v>2955</v>
      </c>
    </row>
    <row r="203" spans="1:10" x14ac:dyDescent="0.25">
      <c r="A203" t="s">
        <v>2730</v>
      </c>
      <c r="I203" s="39" t="s">
        <v>3035</v>
      </c>
      <c r="J203" s="39" t="s">
        <v>3035</v>
      </c>
    </row>
    <row r="204" spans="1:10" x14ac:dyDescent="0.25">
      <c r="A204" t="s">
        <v>2731</v>
      </c>
      <c r="I204" s="39" t="s">
        <v>3036</v>
      </c>
      <c r="J204" s="39" t="s">
        <v>3036</v>
      </c>
    </row>
    <row r="205" spans="1:10" x14ac:dyDescent="0.25">
      <c r="A205" t="s">
        <v>2732</v>
      </c>
      <c r="I205" s="39" t="s">
        <v>3037</v>
      </c>
      <c r="J205" s="39" t="s">
        <v>3037</v>
      </c>
    </row>
    <row r="206" spans="1:10" x14ac:dyDescent="0.25">
      <c r="A206" t="s">
        <v>2733</v>
      </c>
      <c r="I206" s="39" t="s">
        <v>3038</v>
      </c>
      <c r="J206" s="39" t="s">
        <v>3038</v>
      </c>
    </row>
    <row r="207" spans="1:10" x14ac:dyDescent="0.25">
      <c r="A207" t="s">
        <v>2734</v>
      </c>
      <c r="I207" s="39" t="s">
        <v>3039</v>
      </c>
      <c r="J207" s="39" t="s">
        <v>3039</v>
      </c>
    </row>
    <row r="208" spans="1:10" x14ac:dyDescent="0.25">
      <c r="A208" t="s">
        <v>2735</v>
      </c>
      <c r="I208" s="39" t="s">
        <v>3040</v>
      </c>
      <c r="J208" s="39" t="s">
        <v>3040</v>
      </c>
    </row>
    <row r="209" spans="1:12" x14ac:dyDescent="0.25">
      <c r="A209" t="s">
        <v>2736</v>
      </c>
      <c r="I209" s="39" t="s">
        <v>3041</v>
      </c>
      <c r="J209" s="39" t="s">
        <v>3041</v>
      </c>
    </row>
    <row r="210" spans="1:12" x14ac:dyDescent="0.25">
      <c r="A210" t="s">
        <v>2737</v>
      </c>
      <c r="I210" s="39" t="s">
        <v>3042</v>
      </c>
      <c r="J210" s="39" t="s">
        <v>3042</v>
      </c>
    </row>
    <row r="211" spans="1:12" x14ac:dyDescent="0.25">
      <c r="A211" t="s">
        <v>2738</v>
      </c>
      <c r="I211" s="39" t="s">
        <v>3043</v>
      </c>
      <c r="J211" s="39" t="s">
        <v>3043</v>
      </c>
    </row>
    <row r="212" spans="1:12" x14ac:dyDescent="0.25">
      <c r="A212" t="s">
        <v>2739</v>
      </c>
      <c r="I212" s="39" t="s">
        <v>3044</v>
      </c>
      <c r="J212" s="39" t="s">
        <v>3044</v>
      </c>
    </row>
    <row r="213" spans="1:12" x14ac:dyDescent="0.25">
      <c r="A213" t="s">
        <v>2740</v>
      </c>
      <c r="I213" t="s">
        <v>2854</v>
      </c>
      <c r="J213" s="39" t="s">
        <v>2854</v>
      </c>
    </row>
    <row r="214" spans="1:12" x14ac:dyDescent="0.25">
      <c r="A214" t="s">
        <v>2741</v>
      </c>
      <c r="I214" t="s">
        <v>3</v>
      </c>
      <c r="J214" s="39" t="s">
        <v>3</v>
      </c>
    </row>
    <row r="215" spans="1:12" x14ac:dyDescent="0.25">
      <c r="A215" t="s">
        <v>2742</v>
      </c>
      <c r="I215" t="s">
        <v>2899</v>
      </c>
      <c r="J215" s="39" t="s">
        <v>2899</v>
      </c>
    </row>
    <row r="216" spans="1:12" x14ac:dyDescent="0.25">
      <c r="A216" t="s">
        <v>2743</v>
      </c>
      <c r="I216" t="s">
        <v>2900</v>
      </c>
      <c r="J216" s="39" t="s">
        <v>2900</v>
      </c>
    </row>
    <row r="217" spans="1:12" x14ac:dyDescent="0.25">
      <c r="A217" t="s">
        <v>2744</v>
      </c>
      <c r="I217" t="s">
        <v>2901</v>
      </c>
      <c r="J217" s="39" t="s">
        <v>2901</v>
      </c>
    </row>
    <row r="218" spans="1:12" x14ac:dyDescent="0.25">
      <c r="A218" t="s">
        <v>2745</v>
      </c>
      <c r="I218" t="s">
        <v>8</v>
      </c>
      <c r="J218" s="39" t="s">
        <v>8</v>
      </c>
      <c r="K218" t="s">
        <v>3130</v>
      </c>
    </row>
    <row r="219" spans="1:12" x14ac:dyDescent="0.25">
      <c r="A219" t="s">
        <v>2746</v>
      </c>
      <c r="I219" t="s">
        <v>2409</v>
      </c>
      <c r="J219" s="39" t="s">
        <v>2409</v>
      </c>
      <c r="K219" s="39" t="s">
        <v>3130</v>
      </c>
      <c r="L219" t="str">
        <f>J219&amp;K219</f>
        <v>Q5Post</v>
      </c>
    </row>
    <row r="220" spans="1:12" x14ac:dyDescent="0.25">
      <c r="A220" t="s">
        <v>2747</v>
      </c>
      <c r="I220" t="s">
        <v>9</v>
      </c>
      <c r="J220" s="39" t="s">
        <v>9</v>
      </c>
      <c r="K220" s="39" t="s">
        <v>3130</v>
      </c>
      <c r="L220" s="39" t="str">
        <f t="shared" ref="L220:L283" si="0">J220&amp;K220</f>
        <v>Q7Post</v>
      </c>
    </row>
    <row r="221" spans="1:12" x14ac:dyDescent="0.25">
      <c r="A221" t="s">
        <v>2748</v>
      </c>
      <c r="I221" t="s">
        <v>2902</v>
      </c>
      <c r="J221" s="39" t="s">
        <v>2902</v>
      </c>
      <c r="K221" s="39" t="s">
        <v>3130</v>
      </c>
      <c r="L221" s="39" t="str">
        <f t="shared" si="0"/>
        <v>Q7SQPost</v>
      </c>
    </row>
    <row r="222" spans="1:12" x14ac:dyDescent="0.25">
      <c r="A222" t="s">
        <v>2749</v>
      </c>
      <c r="I222" t="s">
        <v>2903</v>
      </c>
      <c r="J222" s="39" t="s">
        <v>2903</v>
      </c>
      <c r="K222" s="39" t="s">
        <v>3130</v>
      </c>
      <c r="L222" s="39" t="str">
        <f t="shared" si="0"/>
        <v>Q8Post</v>
      </c>
    </row>
    <row r="223" spans="1:12" x14ac:dyDescent="0.25">
      <c r="A223" t="s">
        <v>2750</v>
      </c>
      <c r="I223" t="s">
        <v>2904</v>
      </c>
      <c r="J223" s="39" t="s">
        <v>2904</v>
      </c>
      <c r="K223" s="39" t="s">
        <v>3130</v>
      </c>
      <c r="L223" s="39" t="str">
        <f t="shared" si="0"/>
        <v>Q8SQPost</v>
      </c>
    </row>
    <row r="224" spans="1:12" x14ac:dyDescent="0.25">
      <c r="A224" t="s">
        <v>2751</v>
      </c>
      <c r="I224" t="s">
        <v>10</v>
      </c>
      <c r="J224" s="39" t="s">
        <v>10</v>
      </c>
      <c r="K224" s="39" t="s">
        <v>3130</v>
      </c>
      <c r="L224" s="39" t="str">
        <f t="shared" si="0"/>
        <v>Q9Post</v>
      </c>
    </row>
    <row r="225" spans="1:12" x14ac:dyDescent="0.25">
      <c r="A225" t="s">
        <v>2752</v>
      </c>
      <c r="I225" t="s">
        <v>2867</v>
      </c>
      <c r="J225" s="39" t="s">
        <v>2867</v>
      </c>
      <c r="K225" s="39" t="s">
        <v>3130</v>
      </c>
      <c r="L225" s="39" t="str">
        <f t="shared" si="0"/>
        <v>Q9SQPost</v>
      </c>
    </row>
    <row r="226" spans="1:12" x14ac:dyDescent="0.25">
      <c r="A226" t="s">
        <v>2753</v>
      </c>
      <c r="I226" t="s">
        <v>11</v>
      </c>
      <c r="J226" s="39" t="s">
        <v>11</v>
      </c>
      <c r="K226" s="39" t="s">
        <v>3130</v>
      </c>
      <c r="L226" s="39" t="str">
        <f t="shared" si="0"/>
        <v>Q10Post</v>
      </c>
    </row>
    <row r="227" spans="1:12" x14ac:dyDescent="0.25">
      <c r="A227" t="s">
        <v>2754</v>
      </c>
      <c r="I227" t="s">
        <v>12</v>
      </c>
      <c r="J227" s="39" t="s">
        <v>12</v>
      </c>
      <c r="K227" s="39" t="s">
        <v>3130</v>
      </c>
      <c r="L227" s="39" t="str">
        <f t="shared" si="0"/>
        <v>Q11Post</v>
      </c>
    </row>
    <row r="228" spans="1:12" x14ac:dyDescent="0.25">
      <c r="A228" t="s">
        <v>2755</v>
      </c>
      <c r="I228" t="s">
        <v>2411</v>
      </c>
      <c r="J228" s="39" t="s">
        <v>2411</v>
      </c>
      <c r="K228" s="39" t="s">
        <v>3130</v>
      </c>
      <c r="L228" s="39" t="str">
        <f t="shared" si="0"/>
        <v>Q12Post</v>
      </c>
    </row>
    <row r="229" spans="1:12" x14ac:dyDescent="0.25">
      <c r="A229" t="s">
        <v>2756</v>
      </c>
      <c r="I229" t="s">
        <v>2400</v>
      </c>
      <c r="J229" s="39" t="s">
        <v>2400</v>
      </c>
      <c r="K229" s="39" t="s">
        <v>3130</v>
      </c>
      <c r="L229" s="39" t="str">
        <f t="shared" si="0"/>
        <v>Q13Post</v>
      </c>
    </row>
    <row r="230" spans="1:12" x14ac:dyDescent="0.25">
      <c r="A230" t="s">
        <v>2757</v>
      </c>
      <c r="I230" t="s">
        <v>2401</v>
      </c>
      <c r="J230" s="39" t="s">
        <v>2401</v>
      </c>
      <c r="K230" s="39" t="s">
        <v>3130</v>
      </c>
      <c r="L230" s="39" t="str">
        <f t="shared" si="0"/>
        <v>Q14Post</v>
      </c>
    </row>
    <row r="231" spans="1:12" x14ac:dyDescent="0.25">
      <c r="A231" t="s">
        <v>2758</v>
      </c>
      <c r="I231" t="s">
        <v>2412</v>
      </c>
      <c r="J231" s="39" t="s">
        <v>2412</v>
      </c>
      <c r="K231" s="39" t="s">
        <v>3130</v>
      </c>
      <c r="L231" s="39" t="str">
        <f t="shared" si="0"/>
        <v>Q15Post</v>
      </c>
    </row>
    <row r="232" spans="1:12" x14ac:dyDescent="0.25">
      <c r="A232" t="s">
        <v>2759</v>
      </c>
      <c r="I232" t="s">
        <v>2413</v>
      </c>
      <c r="J232" s="39" t="s">
        <v>2413</v>
      </c>
      <c r="K232" s="39" t="s">
        <v>3130</v>
      </c>
      <c r="L232" s="39" t="str">
        <f t="shared" si="0"/>
        <v>Q17Post</v>
      </c>
    </row>
    <row r="233" spans="1:12" x14ac:dyDescent="0.25">
      <c r="A233" t="s">
        <v>2760</v>
      </c>
      <c r="I233" t="s">
        <v>2414</v>
      </c>
      <c r="J233" s="39" t="s">
        <v>2414</v>
      </c>
      <c r="K233" s="39" t="s">
        <v>3130</v>
      </c>
      <c r="L233" s="39" t="str">
        <f t="shared" si="0"/>
        <v>Q18Post</v>
      </c>
    </row>
    <row r="234" spans="1:12" x14ac:dyDescent="0.25">
      <c r="A234" t="s">
        <v>2761</v>
      </c>
      <c r="I234" t="s">
        <v>2415</v>
      </c>
      <c r="J234" s="39" t="s">
        <v>2415</v>
      </c>
      <c r="K234" s="39" t="s">
        <v>3130</v>
      </c>
      <c r="L234" s="39" t="str">
        <f t="shared" si="0"/>
        <v>Q19Post</v>
      </c>
    </row>
    <row r="235" spans="1:12" x14ac:dyDescent="0.25">
      <c r="A235" t="s">
        <v>2762</v>
      </c>
      <c r="I235" t="s">
        <v>2417</v>
      </c>
      <c r="J235" s="39" t="s">
        <v>2417</v>
      </c>
      <c r="K235" s="39" t="s">
        <v>3130</v>
      </c>
      <c r="L235" s="39" t="str">
        <f t="shared" si="0"/>
        <v>Q21Post</v>
      </c>
    </row>
    <row r="236" spans="1:12" x14ac:dyDescent="0.25">
      <c r="A236" t="s">
        <v>2763</v>
      </c>
      <c r="I236" t="s">
        <v>2418</v>
      </c>
      <c r="J236" s="39" t="s">
        <v>2418</v>
      </c>
      <c r="K236" s="39" t="s">
        <v>3130</v>
      </c>
      <c r="L236" s="39" t="str">
        <f t="shared" si="0"/>
        <v>Q22Post</v>
      </c>
    </row>
    <row r="237" spans="1:12" x14ac:dyDescent="0.25">
      <c r="A237" t="s">
        <v>2764</v>
      </c>
      <c r="I237" t="s">
        <v>2419</v>
      </c>
      <c r="J237" s="39" t="s">
        <v>2419</v>
      </c>
      <c r="K237" s="39" t="s">
        <v>3130</v>
      </c>
      <c r="L237" s="39" t="str">
        <f t="shared" si="0"/>
        <v>Q23Post</v>
      </c>
    </row>
    <row r="238" spans="1:12" x14ac:dyDescent="0.25">
      <c r="A238" t="s">
        <v>2765</v>
      </c>
      <c r="I238" t="s">
        <v>2420</v>
      </c>
      <c r="J238" s="39" t="s">
        <v>2420</v>
      </c>
      <c r="K238" s="39" t="s">
        <v>3130</v>
      </c>
      <c r="L238" s="39" t="str">
        <f t="shared" si="0"/>
        <v>Q24Post</v>
      </c>
    </row>
    <row r="239" spans="1:12" x14ac:dyDescent="0.25">
      <c r="A239" t="s">
        <v>2766</v>
      </c>
      <c r="I239" t="s">
        <v>2421</v>
      </c>
      <c r="J239" s="39" t="s">
        <v>2421</v>
      </c>
      <c r="K239" s="39" t="s">
        <v>3130</v>
      </c>
      <c r="L239" s="39" t="str">
        <f t="shared" si="0"/>
        <v>Q25Post</v>
      </c>
    </row>
    <row r="240" spans="1:12" x14ac:dyDescent="0.25">
      <c r="A240" t="s">
        <v>2767</v>
      </c>
      <c r="I240" t="s">
        <v>2422</v>
      </c>
      <c r="J240" s="39" t="s">
        <v>2422</v>
      </c>
      <c r="K240" s="39" t="s">
        <v>3130</v>
      </c>
      <c r="L240" s="39" t="str">
        <f t="shared" si="0"/>
        <v>Q26Post</v>
      </c>
    </row>
    <row r="241" spans="1:12" x14ac:dyDescent="0.25">
      <c r="A241" t="s">
        <v>2768</v>
      </c>
      <c r="I241" t="s">
        <v>2423</v>
      </c>
      <c r="J241" s="39" t="s">
        <v>2423</v>
      </c>
      <c r="K241" s="39" t="s">
        <v>3130</v>
      </c>
      <c r="L241" s="39" t="str">
        <f t="shared" si="0"/>
        <v>Q27Post</v>
      </c>
    </row>
    <row r="242" spans="1:12" x14ac:dyDescent="0.25">
      <c r="A242" t="s">
        <v>2769</v>
      </c>
      <c r="I242" t="s">
        <v>2905</v>
      </c>
      <c r="J242" s="39" t="s">
        <v>2905</v>
      </c>
      <c r="K242" s="39" t="s">
        <v>3130</v>
      </c>
      <c r="L242" s="39" t="str">
        <f t="shared" si="0"/>
        <v>Q28Post</v>
      </c>
    </row>
    <row r="243" spans="1:12" x14ac:dyDescent="0.25">
      <c r="A243" t="s">
        <v>2770</v>
      </c>
      <c r="I243" t="s">
        <v>2906</v>
      </c>
      <c r="J243" s="39" t="s">
        <v>2906</v>
      </c>
      <c r="K243" s="39" t="s">
        <v>3130</v>
      </c>
      <c r="L243" s="39" t="str">
        <f t="shared" si="0"/>
        <v>Q30Post</v>
      </c>
    </row>
    <row r="244" spans="1:12" x14ac:dyDescent="0.25">
      <c r="A244" t="s">
        <v>2771</v>
      </c>
      <c r="I244" t="s">
        <v>2907</v>
      </c>
      <c r="J244" s="39" t="s">
        <v>2907</v>
      </c>
      <c r="K244" s="39" t="s">
        <v>3130</v>
      </c>
      <c r="L244" s="39" t="str">
        <f t="shared" si="0"/>
        <v>Q31Post</v>
      </c>
    </row>
    <row r="245" spans="1:12" x14ac:dyDescent="0.25">
      <c r="A245" t="s">
        <v>2772</v>
      </c>
      <c r="I245" s="39" t="s">
        <v>3045</v>
      </c>
      <c r="J245" s="39" t="s">
        <v>3045</v>
      </c>
      <c r="K245" s="39" t="s">
        <v>3130</v>
      </c>
      <c r="L245" s="39" t="str">
        <f t="shared" si="0"/>
        <v>Q32_1Post</v>
      </c>
    </row>
    <row r="246" spans="1:12" x14ac:dyDescent="0.25">
      <c r="A246" t="s">
        <v>2773</v>
      </c>
      <c r="I246" s="39" t="s">
        <v>3046</v>
      </c>
      <c r="J246" s="39" t="s">
        <v>3046</v>
      </c>
      <c r="K246" s="39" t="s">
        <v>3130</v>
      </c>
      <c r="L246" s="39" t="str">
        <f t="shared" si="0"/>
        <v>Q32_2Post</v>
      </c>
    </row>
    <row r="247" spans="1:12" x14ac:dyDescent="0.25">
      <c r="A247" t="s">
        <v>2774</v>
      </c>
      <c r="I247" s="39" t="s">
        <v>3047</v>
      </c>
      <c r="J247" s="39" t="s">
        <v>3047</v>
      </c>
      <c r="K247" s="39" t="s">
        <v>3130</v>
      </c>
      <c r="L247" s="39" t="str">
        <f t="shared" si="0"/>
        <v>Q32_3Post</v>
      </c>
    </row>
    <row r="248" spans="1:12" x14ac:dyDescent="0.25">
      <c r="A248" t="s">
        <v>2775</v>
      </c>
      <c r="I248" s="39" t="s">
        <v>3048</v>
      </c>
      <c r="J248" s="39" t="s">
        <v>3048</v>
      </c>
      <c r="K248" s="39" t="s">
        <v>3130</v>
      </c>
      <c r="L248" s="39" t="str">
        <f t="shared" si="0"/>
        <v>Q32_4Post</v>
      </c>
    </row>
    <row r="249" spans="1:12" x14ac:dyDescent="0.25">
      <c r="A249" t="s">
        <v>2776</v>
      </c>
      <c r="I249" s="39" t="s">
        <v>3049</v>
      </c>
      <c r="J249" s="39" t="s">
        <v>3049</v>
      </c>
      <c r="K249" s="39" t="s">
        <v>3130</v>
      </c>
      <c r="L249" s="39" t="str">
        <f t="shared" si="0"/>
        <v>Q32_5Post</v>
      </c>
    </row>
    <row r="250" spans="1:12" x14ac:dyDescent="0.25">
      <c r="A250" t="s">
        <v>2777</v>
      </c>
      <c r="I250" s="39" t="s">
        <v>3050</v>
      </c>
      <c r="J250" s="39" t="s">
        <v>3050</v>
      </c>
      <c r="K250" s="39" t="s">
        <v>3130</v>
      </c>
      <c r="L250" s="39" t="str">
        <f t="shared" si="0"/>
        <v>Q32_6Post</v>
      </c>
    </row>
    <row r="251" spans="1:12" x14ac:dyDescent="0.25">
      <c r="A251" t="s">
        <v>2778</v>
      </c>
      <c r="I251" s="39" t="s">
        <v>3051</v>
      </c>
      <c r="J251" s="39" t="s">
        <v>3051</v>
      </c>
      <c r="K251" s="39" t="s">
        <v>3130</v>
      </c>
      <c r="L251" s="39" t="str">
        <f t="shared" si="0"/>
        <v>Q32_7Post</v>
      </c>
    </row>
    <row r="252" spans="1:12" x14ac:dyDescent="0.25">
      <c r="A252" t="s">
        <v>2779</v>
      </c>
      <c r="I252" s="39" t="s">
        <v>3052</v>
      </c>
      <c r="J252" s="39" t="s">
        <v>3052</v>
      </c>
      <c r="K252" s="39" t="s">
        <v>3130</v>
      </c>
      <c r="L252" s="39" t="str">
        <f t="shared" si="0"/>
        <v>Q32_8Post</v>
      </c>
    </row>
    <row r="253" spans="1:12" x14ac:dyDescent="0.25">
      <c r="A253" t="s">
        <v>2780</v>
      </c>
      <c r="I253" s="39" t="s">
        <v>3053</v>
      </c>
      <c r="J253" s="39" t="s">
        <v>3053</v>
      </c>
      <c r="K253" s="39" t="s">
        <v>3130</v>
      </c>
      <c r="L253" s="39" t="str">
        <f t="shared" si="0"/>
        <v>Q32_9Post</v>
      </c>
    </row>
    <row r="254" spans="1:12" x14ac:dyDescent="0.25">
      <c r="A254" t="s">
        <v>2781</v>
      </c>
      <c r="I254" s="39" t="s">
        <v>3054</v>
      </c>
      <c r="J254" s="39" t="s">
        <v>3054</v>
      </c>
      <c r="K254" s="39" t="s">
        <v>3130</v>
      </c>
      <c r="L254" s="39" t="str">
        <f t="shared" si="0"/>
        <v>Q32_10Post</v>
      </c>
    </row>
    <row r="255" spans="1:12" x14ac:dyDescent="0.25">
      <c r="A255" t="s">
        <v>2782</v>
      </c>
      <c r="I255" s="39" t="s">
        <v>3055</v>
      </c>
      <c r="J255" s="39" t="s">
        <v>3055</v>
      </c>
      <c r="K255" s="39" t="s">
        <v>3130</v>
      </c>
      <c r="L255" s="39" t="str">
        <f t="shared" si="0"/>
        <v>Q32_11Post</v>
      </c>
    </row>
    <row r="256" spans="1:12" x14ac:dyDescent="0.25">
      <c r="A256" t="s">
        <v>2783</v>
      </c>
      <c r="I256" s="39" t="s">
        <v>3056</v>
      </c>
      <c r="J256" s="39" t="s">
        <v>3056</v>
      </c>
      <c r="K256" s="39" t="s">
        <v>3130</v>
      </c>
      <c r="L256" s="39" t="str">
        <f t="shared" si="0"/>
        <v>Q32_12Post</v>
      </c>
    </row>
    <row r="257" spans="1:12" x14ac:dyDescent="0.25">
      <c r="A257" t="s">
        <v>2784</v>
      </c>
      <c r="I257" s="39" t="s">
        <v>3057</v>
      </c>
      <c r="J257" s="39" t="s">
        <v>3057</v>
      </c>
      <c r="K257" s="39" t="s">
        <v>3130</v>
      </c>
      <c r="L257" s="39" t="str">
        <f t="shared" si="0"/>
        <v>Q32_13Post</v>
      </c>
    </row>
    <row r="258" spans="1:12" x14ac:dyDescent="0.25">
      <c r="A258" t="s">
        <v>2785</v>
      </c>
      <c r="I258" s="39" t="s">
        <v>3058</v>
      </c>
      <c r="J258" s="39" t="s">
        <v>3058</v>
      </c>
      <c r="K258" s="39" t="s">
        <v>3130</v>
      </c>
      <c r="L258" s="39" t="str">
        <f t="shared" si="0"/>
        <v>Q32_14Post</v>
      </c>
    </row>
    <row r="259" spans="1:12" x14ac:dyDescent="0.25">
      <c r="A259" t="s">
        <v>2786</v>
      </c>
      <c r="I259" t="s">
        <v>2908</v>
      </c>
      <c r="J259" s="39" t="s">
        <v>2908</v>
      </c>
      <c r="K259" s="39" t="s">
        <v>3130</v>
      </c>
      <c r="L259" s="39" t="str">
        <f t="shared" si="0"/>
        <v>Q33Post</v>
      </c>
    </row>
    <row r="260" spans="1:12" x14ac:dyDescent="0.25">
      <c r="A260" t="s">
        <v>2787</v>
      </c>
      <c r="I260" t="s">
        <v>2909</v>
      </c>
      <c r="J260" s="39" t="s">
        <v>2909</v>
      </c>
      <c r="K260" s="39" t="s">
        <v>3130</v>
      </c>
      <c r="L260" s="39" t="str">
        <f t="shared" si="0"/>
        <v>Q34Post</v>
      </c>
    </row>
    <row r="261" spans="1:12" x14ac:dyDescent="0.25">
      <c r="A261" t="s">
        <v>2788</v>
      </c>
      <c r="I261" t="s">
        <v>2910</v>
      </c>
      <c r="J261" s="39" t="s">
        <v>2910</v>
      </c>
      <c r="K261" s="39" t="s">
        <v>3130</v>
      </c>
      <c r="L261" s="39" t="str">
        <f t="shared" si="0"/>
        <v>Q35Post</v>
      </c>
    </row>
    <row r="262" spans="1:12" x14ac:dyDescent="0.25">
      <c r="A262" t="s">
        <v>2789</v>
      </c>
      <c r="I262" t="s">
        <v>2911</v>
      </c>
      <c r="J262" s="39" t="s">
        <v>2911</v>
      </c>
      <c r="K262" s="39" t="s">
        <v>3130</v>
      </c>
      <c r="L262" s="39" t="str">
        <f t="shared" si="0"/>
        <v>Q36Post</v>
      </c>
    </row>
    <row r="263" spans="1:12" x14ac:dyDescent="0.25">
      <c r="A263" t="s">
        <v>2790</v>
      </c>
      <c r="I263" s="39" t="s">
        <v>3059</v>
      </c>
      <c r="J263" s="39" t="s">
        <v>3059</v>
      </c>
      <c r="K263" s="39" t="s">
        <v>3130</v>
      </c>
      <c r="L263" s="39" t="str">
        <f t="shared" si="0"/>
        <v>Q36SQ_1Post</v>
      </c>
    </row>
    <row r="264" spans="1:12" x14ac:dyDescent="0.25">
      <c r="A264" t="s">
        <v>2791</v>
      </c>
      <c r="I264" s="39" t="s">
        <v>3060</v>
      </c>
      <c r="J264" s="39" t="s">
        <v>3060</v>
      </c>
      <c r="K264" s="39" t="s">
        <v>3130</v>
      </c>
      <c r="L264" s="39" t="str">
        <f t="shared" si="0"/>
        <v>Q36SQ_2Post</v>
      </c>
    </row>
    <row r="265" spans="1:12" x14ac:dyDescent="0.25">
      <c r="A265" t="s">
        <v>2792</v>
      </c>
      <c r="I265" s="39" t="s">
        <v>3061</v>
      </c>
      <c r="J265" s="39" t="s">
        <v>3061</v>
      </c>
      <c r="K265" s="39" t="s">
        <v>3130</v>
      </c>
      <c r="L265" s="39" t="str">
        <f t="shared" si="0"/>
        <v>Q36SQ_3Post</v>
      </c>
    </row>
    <row r="266" spans="1:12" x14ac:dyDescent="0.25">
      <c r="A266" t="s">
        <v>2793</v>
      </c>
      <c r="I266" s="39" t="s">
        <v>3062</v>
      </c>
      <c r="J266" s="39" t="s">
        <v>3062</v>
      </c>
      <c r="K266" s="39" t="s">
        <v>3130</v>
      </c>
      <c r="L266" s="39" t="str">
        <f t="shared" si="0"/>
        <v>Q36SQ_4Post</v>
      </c>
    </row>
    <row r="267" spans="1:12" x14ac:dyDescent="0.25">
      <c r="A267" t="s">
        <v>2794</v>
      </c>
      <c r="I267" s="39" t="s">
        <v>3063</v>
      </c>
      <c r="J267" s="39" t="s">
        <v>3063</v>
      </c>
      <c r="K267" s="39" t="s">
        <v>3130</v>
      </c>
      <c r="L267" s="39" t="str">
        <f t="shared" si="0"/>
        <v>Q36SQ_5Post</v>
      </c>
    </row>
    <row r="268" spans="1:12" x14ac:dyDescent="0.25">
      <c r="A268" t="s">
        <v>2795</v>
      </c>
      <c r="I268" s="39" t="s">
        <v>3064</v>
      </c>
      <c r="J268" s="39" t="s">
        <v>3064</v>
      </c>
      <c r="K268" s="39" t="s">
        <v>3130</v>
      </c>
      <c r="L268" s="39" t="str">
        <f t="shared" si="0"/>
        <v>Q36SQ_6Post</v>
      </c>
    </row>
    <row r="269" spans="1:12" x14ac:dyDescent="0.25">
      <c r="A269" t="s">
        <v>2796</v>
      </c>
      <c r="I269" s="39" t="s">
        <v>3065</v>
      </c>
      <c r="J269" s="39" t="s">
        <v>3065</v>
      </c>
      <c r="K269" s="39" t="s">
        <v>3130</v>
      </c>
      <c r="L269" s="39" t="str">
        <f t="shared" si="0"/>
        <v>Q36SQ_7Post</v>
      </c>
    </row>
    <row r="270" spans="1:12" x14ac:dyDescent="0.25">
      <c r="A270" t="s">
        <v>2797</v>
      </c>
      <c r="I270" s="39" t="s">
        <v>3066</v>
      </c>
      <c r="J270" s="39" t="s">
        <v>3066</v>
      </c>
      <c r="K270" s="39" t="s">
        <v>3130</v>
      </c>
      <c r="L270" s="39" t="str">
        <f t="shared" si="0"/>
        <v>Q36SQ_8Post</v>
      </c>
    </row>
    <row r="271" spans="1:12" x14ac:dyDescent="0.25">
      <c r="A271" t="s">
        <v>2798</v>
      </c>
      <c r="I271" s="39" t="s">
        <v>3067</v>
      </c>
      <c r="J271" s="39" t="s">
        <v>3067</v>
      </c>
      <c r="K271" s="39" t="s">
        <v>3130</v>
      </c>
      <c r="L271" s="39" t="str">
        <f t="shared" si="0"/>
        <v>Q36SQ_9Post</v>
      </c>
    </row>
    <row r="272" spans="1:12" x14ac:dyDescent="0.25">
      <c r="A272" t="s">
        <v>2799</v>
      </c>
      <c r="I272" s="39" t="s">
        <v>3068</v>
      </c>
      <c r="J272" s="39" t="s">
        <v>3068</v>
      </c>
      <c r="K272" s="39" t="s">
        <v>3130</v>
      </c>
      <c r="L272" s="39" t="str">
        <f t="shared" si="0"/>
        <v>Q36SQ_10Post</v>
      </c>
    </row>
    <row r="273" spans="1:12" x14ac:dyDescent="0.25">
      <c r="A273" t="s">
        <v>2800</v>
      </c>
      <c r="I273" s="39" t="s">
        <v>3069</v>
      </c>
      <c r="J273" s="39" t="s">
        <v>3069</v>
      </c>
      <c r="K273" s="39" t="s">
        <v>3130</v>
      </c>
      <c r="L273" s="39" t="str">
        <f t="shared" si="0"/>
        <v>Q36SQ_11Post</v>
      </c>
    </row>
    <row r="274" spans="1:12" x14ac:dyDescent="0.25">
      <c r="A274" t="s">
        <v>2801</v>
      </c>
      <c r="I274" s="39" t="s">
        <v>3070</v>
      </c>
      <c r="J274" s="39" t="s">
        <v>3070</v>
      </c>
      <c r="K274" s="39" t="s">
        <v>3130</v>
      </c>
      <c r="L274" s="39" t="str">
        <f t="shared" si="0"/>
        <v>Q36SQ_12Post</v>
      </c>
    </row>
    <row r="275" spans="1:12" x14ac:dyDescent="0.25">
      <c r="A275" t="s">
        <v>2802</v>
      </c>
      <c r="I275" t="s">
        <v>2912</v>
      </c>
      <c r="J275" s="39" t="s">
        <v>2912</v>
      </c>
      <c r="K275" s="39" t="s">
        <v>3130</v>
      </c>
      <c r="L275" s="39" t="str">
        <f t="shared" si="0"/>
        <v>Q37Post</v>
      </c>
    </row>
    <row r="276" spans="1:12" x14ac:dyDescent="0.25">
      <c r="A276" t="s">
        <v>2803</v>
      </c>
      <c r="I276" t="s">
        <v>2913</v>
      </c>
      <c r="J276" s="39" t="s">
        <v>2913</v>
      </c>
      <c r="K276" s="39" t="s">
        <v>3130</v>
      </c>
      <c r="L276" s="39" t="str">
        <f t="shared" si="0"/>
        <v>Q38Post</v>
      </c>
    </row>
    <row r="277" spans="1:12" x14ac:dyDescent="0.25">
      <c r="A277" t="s">
        <v>2804</v>
      </c>
      <c r="I277" t="s">
        <v>2914</v>
      </c>
      <c r="J277" s="39" t="s">
        <v>2914</v>
      </c>
      <c r="K277" s="39" t="s">
        <v>3130</v>
      </c>
      <c r="L277" s="39" t="str">
        <f t="shared" si="0"/>
        <v>Q39Post</v>
      </c>
    </row>
    <row r="278" spans="1:12" x14ac:dyDescent="0.25">
      <c r="A278" t="s">
        <v>2805</v>
      </c>
      <c r="I278" t="s">
        <v>2915</v>
      </c>
      <c r="J278" s="39" t="s">
        <v>2915</v>
      </c>
      <c r="K278" s="39" t="s">
        <v>3130</v>
      </c>
      <c r="L278" s="39" t="str">
        <f t="shared" si="0"/>
        <v>Q40Post</v>
      </c>
    </row>
    <row r="279" spans="1:12" x14ac:dyDescent="0.25">
      <c r="A279" t="s">
        <v>2806</v>
      </c>
      <c r="I279" s="39" t="s">
        <v>3071</v>
      </c>
      <c r="J279" s="39" t="s">
        <v>3071</v>
      </c>
      <c r="K279" s="39" t="s">
        <v>3130</v>
      </c>
      <c r="L279" s="39" t="str">
        <f t="shared" si="0"/>
        <v>Q41_1Post</v>
      </c>
    </row>
    <row r="280" spans="1:12" x14ac:dyDescent="0.25">
      <c r="A280" t="s">
        <v>2807</v>
      </c>
      <c r="I280" s="39" t="s">
        <v>3072</v>
      </c>
      <c r="J280" s="39" t="s">
        <v>3072</v>
      </c>
      <c r="K280" s="39" t="s">
        <v>3130</v>
      </c>
      <c r="L280" s="39" t="str">
        <f t="shared" si="0"/>
        <v>Q41_2Post</v>
      </c>
    </row>
    <row r="281" spans="1:12" x14ac:dyDescent="0.25">
      <c r="A281" t="s">
        <v>2808</v>
      </c>
      <c r="I281" s="39" t="s">
        <v>3073</v>
      </c>
      <c r="J281" s="39" t="s">
        <v>3073</v>
      </c>
      <c r="K281" s="39" t="s">
        <v>3130</v>
      </c>
      <c r="L281" s="39" t="str">
        <f t="shared" si="0"/>
        <v>Q41_3Post</v>
      </c>
    </row>
    <row r="282" spans="1:12" x14ac:dyDescent="0.25">
      <c r="A282" t="s">
        <v>2809</v>
      </c>
      <c r="I282" s="39" t="s">
        <v>3074</v>
      </c>
      <c r="J282" s="39" t="s">
        <v>3074</v>
      </c>
      <c r="K282" s="39" t="s">
        <v>3130</v>
      </c>
      <c r="L282" s="39" t="str">
        <f t="shared" si="0"/>
        <v>Q41_4Post</v>
      </c>
    </row>
    <row r="283" spans="1:12" x14ac:dyDescent="0.25">
      <c r="A283" t="s">
        <v>2810</v>
      </c>
      <c r="I283" s="39" t="s">
        <v>3075</v>
      </c>
      <c r="J283" s="39" t="s">
        <v>3075</v>
      </c>
      <c r="K283" s="39" t="s">
        <v>3130</v>
      </c>
      <c r="L283" s="39" t="str">
        <f t="shared" si="0"/>
        <v>Q41_5Post</v>
      </c>
    </row>
    <row r="284" spans="1:12" x14ac:dyDescent="0.25">
      <c r="A284" t="s">
        <v>2811</v>
      </c>
      <c r="I284" s="39" t="s">
        <v>3076</v>
      </c>
      <c r="J284" s="39" t="s">
        <v>3076</v>
      </c>
      <c r="K284" s="39" t="s">
        <v>3130</v>
      </c>
      <c r="L284" s="39" t="str">
        <f t="shared" ref="L284:L320" si="1">J284&amp;K284</f>
        <v>Q41_6Post</v>
      </c>
    </row>
    <row r="285" spans="1:12" x14ac:dyDescent="0.25">
      <c r="A285" t="s">
        <v>2812</v>
      </c>
      <c r="I285" s="39" t="s">
        <v>3077</v>
      </c>
      <c r="J285" s="39" t="s">
        <v>3077</v>
      </c>
      <c r="K285" s="39" t="s">
        <v>3130</v>
      </c>
      <c r="L285" s="39" t="str">
        <f t="shared" si="1"/>
        <v>Q41_7Post</v>
      </c>
    </row>
    <row r="286" spans="1:12" x14ac:dyDescent="0.25">
      <c r="A286" t="s">
        <v>2813</v>
      </c>
      <c r="I286" s="39" t="s">
        <v>3078</v>
      </c>
      <c r="J286" s="39" t="s">
        <v>3078</v>
      </c>
      <c r="K286" s="39" t="s">
        <v>3130</v>
      </c>
      <c r="L286" s="39" t="str">
        <f t="shared" si="1"/>
        <v>Q41_8Post</v>
      </c>
    </row>
    <row r="287" spans="1:12" x14ac:dyDescent="0.25">
      <c r="A287" t="s">
        <v>2814</v>
      </c>
      <c r="I287" s="39" t="s">
        <v>3079</v>
      </c>
      <c r="J287" s="39" t="s">
        <v>3079</v>
      </c>
      <c r="K287" s="39" t="s">
        <v>3130</v>
      </c>
      <c r="L287" s="39" t="str">
        <f t="shared" si="1"/>
        <v>Q41_9Post</v>
      </c>
    </row>
    <row r="288" spans="1:12" x14ac:dyDescent="0.25">
      <c r="A288" t="s">
        <v>2815</v>
      </c>
      <c r="I288" s="39" t="s">
        <v>3080</v>
      </c>
      <c r="J288" s="39" t="s">
        <v>3080</v>
      </c>
      <c r="K288" s="39" t="s">
        <v>3130</v>
      </c>
      <c r="L288" s="39" t="str">
        <f t="shared" si="1"/>
        <v>Q41_10Post</v>
      </c>
    </row>
    <row r="289" spans="1:12" x14ac:dyDescent="0.25">
      <c r="A289" t="s">
        <v>2816</v>
      </c>
      <c r="I289" s="39" t="s">
        <v>3081</v>
      </c>
      <c r="J289" s="39" t="s">
        <v>3081</v>
      </c>
      <c r="K289" s="39" t="s">
        <v>3130</v>
      </c>
      <c r="L289" s="39" t="str">
        <f t="shared" si="1"/>
        <v>Q41_11Post</v>
      </c>
    </row>
    <row r="290" spans="1:12" x14ac:dyDescent="0.25">
      <c r="A290" t="s">
        <v>2817</v>
      </c>
      <c r="I290" s="39" t="s">
        <v>3082</v>
      </c>
      <c r="J290" s="39" t="s">
        <v>3082</v>
      </c>
      <c r="K290" s="39" t="s">
        <v>3130</v>
      </c>
      <c r="L290" s="39" t="str">
        <f t="shared" si="1"/>
        <v>Q41_12Post</v>
      </c>
    </row>
    <row r="291" spans="1:12" x14ac:dyDescent="0.25">
      <c r="A291" t="s">
        <v>2818</v>
      </c>
      <c r="I291" s="39" t="s">
        <v>3083</v>
      </c>
      <c r="J291" s="39" t="s">
        <v>3083</v>
      </c>
      <c r="K291" s="39" t="s">
        <v>3130</v>
      </c>
      <c r="L291" s="39" t="str">
        <f t="shared" si="1"/>
        <v>Q41_13Post</v>
      </c>
    </row>
    <row r="292" spans="1:12" x14ac:dyDescent="0.25">
      <c r="A292" t="s">
        <v>2819</v>
      </c>
      <c r="I292" s="39" t="s">
        <v>3084</v>
      </c>
      <c r="J292" s="39" t="s">
        <v>3084</v>
      </c>
      <c r="K292" s="39" t="s">
        <v>3130</v>
      </c>
      <c r="L292" s="39" t="str">
        <f t="shared" si="1"/>
        <v>Q41_14Post</v>
      </c>
    </row>
    <row r="293" spans="1:12" x14ac:dyDescent="0.25">
      <c r="A293" t="s">
        <v>2820</v>
      </c>
      <c r="I293" s="39" t="s">
        <v>3085</v>
      </c>
      <c r="J293" s="39" t="s">
        <v>3085</v>
      </c>
      <c r="K293" s="39" t="s">
        <v>3130</v>
      </c>
      <c r="L293" s="39" t="str">
        <f t="shared" si="1"/>
        <v>Q41_15Post</v>
      </c>
    </row>
    <row r="294" spans="1:12" x14ac:dyDescent="0.25">
      <c r="A294" t="s">
        <v>2821</v>
      </c>
      <c r="I294" s="39" t="s">
        <v>3086</v>
      </c>
      <c r="J294" s="39" t="s">
        <v>3086</v>
      </c>
      <c r="K294" s="39" t="s">
        <v>3130</v>
      </c>
      <c r="L294" s="39" t="str">
        <f t="shared" si="1"/>
        <v>Q41_16Post</v>
      </c>
    </row>
    <row r="295" spans="1:12" x14ac:dyDescent="0.25">
      <c r="A295" t="s">
        <v>2822</v>
      </c>
      <c r="I295" s="39" t="s">
        <v>3087</v>
      </c>
      <c r="J295" s="39" t="s">
        <v>3087</v>
      </c>
      <c r="K295" s="39" t="s">
        <v>3130</v>
      </c>
      <c r="L295" s="39" t="str">
        <f t="shared" si="1"/>
        <v>Q42_1Post</v>
      </c>
    </row>
    <row r="296" spans="1:12" x14ac:dyDescent="0.25">
      <c r="A296" t="s">
        <v>2823</v>
      </c>
      <c r="I296" s="39" t="s">
        <v>3088</v>
      </c>
      <c r="J296" s="39" t="s">
        <v>3088</v>
      </c>
      <c r="K296" s="39" t="s">
        <v>3130</v>
      </c>
      <c r="L296" s="39" t="str">
        <f t="shared" si="1"/>
        <v>Q42_2Post</v>
      </c>
    </row>
    <row r="297" spans="1:12" x14ac:dyDescent="0.25">
      <c r="A297" t="s">
        <v>2824</v>
      </c>
      <c r="I297" s="39" t="s">
        <v>3089</v>
      </c>
      <c r="J297" s="39" t="s">
        <v>3089</v>
      </c>
      <c r="K297" s="39" t="s">
        <v>3130</v>
      </c>
      <c r="L297" s="39" t="str">
        <f t="shared" si="1"/>
        <v>Q42_3Post</v>
      </c>
    </row>
    <row r="298" spans="1:12" x14ac:dyDescent="0.25">
      <c r="A298" t="s">
        <v>2825</v>
      </c>
      <c r="I298" s="39" t="s">
        <v>3090</v>
      </c>
      <c r="J298" s="39" t="s">
        <v>3090</v>
      </c>
      <c r="K298" s="39" t="s">
        <v>3130</v>
      </c>
      <c r="L298" s="39" t="str">
        <f t="shared" si="1"/>
        <v>Q42_4Post</v>
      </c>
    </row>
    <row r="299" spans="1:12" x14ac:dyDescent="0.25">
      <c r="A299" t="s">
        <v>2826</v>
      </c>
      <c r="I299" s="39" t="s">
        <v>3091</v>
      </c>
      <c r="J299" s="39" t="s">
        <v>3091</v>
      </c>
      <c r="K299" s="39" t="s">
        <v>3130</v>
      </c>
      <c r="L299" s="39" t="str">
        <f t="shared" si="1"/>
        <v>Q42_5Post</v>
      </c>
    </row>
    <row r="300" spans="1:12" x14ac:dyDescent="0.25">
      <c r="A300" t="s">
        <v>2827</v>
      </c>
      <c r="I300" s="39" t="s">
        <v>3092</v>
      </c>
      <c r="J300" s="39" t="s">
        <v>3092</v>
      </c>
      <c r="K300" s="39" t="s">
        <v>3130</v>
      </c>
      <c r="L300" s="39" t="str">
        <f t="shared" si="1"/>
        <v>Q42_6Post</v>
      </c>
    </row>
    <row r="301" spans="1:12" x14ac:dyDescent="0.25">
      <c r="A301" t="s">
        <v>2828</v>
      </c>
      <c r="I301" s="39" t="s">
        <v>3093</v>
      </c>
      <c r="J301" s="39" t="s">
        <v>3093</v>
      </c>
      <c r="K301" s="39" t="s">
        <v>3130</v>
      </c>
      <c r="L301" s="39" t="str">
        <f t="shared" si="1"/>
        <v>Q42_7Post</v>
      </c>
    </row>
    <row r="302" spans="1:12" x14ac:dyDescent="0.25">
      <c r="A302" t="s">
        <v>2829</v>
      </c>
      <c r="I302" s="39" t="s">
        <v>3094</v>
      </c>
      <c r="J302" s="39" t="s">
        <v>3094</v>
      </c>
      <c r="K302" s="39" t="s">
        <v>3130</v>
      </c>
      <c r="L302" s="39" t="str">
        <f t="shared" si="1"/>
        <v>Q42_8Post</v>
      </c>
    </row>
    <row r="303" spans="1:12" x14ac:dyDescent="0.25">
      <c r="A303" t="s">
        <v>2830</v>
      </c>
      <c r="I303" s="39" t="s">
        <v>3095</v>
      </c>
      <c r="J303" s="39" t="s">
        <v>3095</v>
      </c>
      <c r="K303" s="39" t="s">
        <v>3130</v>
      </c>
      <c r="L303" s="39" t="str">
        <f t="shared" si="1"/>
        <v>Q42_9Post</v>
      </c>
    </row>
    <row r="304" spans="1:12" x14ac:dyDescent="0.25">
      <c r="A304" t="s">
        <v>2831</v>
      </c>
      <c r="I304" s="39" t="s">
        <v>3096</v>
      </c>
      <c r="J304" s="39" t="s">
        <v>3096</v>
      </c>
      <c r="K304" s="39" t="s">
        <v>3130</v>
      </c>
      <c r="L304" s="39" t="str">
        <f t="shared" si="1"/>
        <v>Q42_10Post</v>
      </c>
    </row>
    <row r="305" spans="1:12" x14ac:dyDescent="0.25">
      <c r="A305" t="s">
        <v>2832</v>
      </c>
      <c r="I305" s="39" t="s">
        <v>3097</v>
      </c>
      <c r="J305" s="39" t="s">
        <v>3097</v>
      </c>
      <c r="K305" s="39" t="s">
        <v>3130</v>
      </c>
      <c r="L305" s="39" t="str">
        <f t="shared" si="1"/>
        <v>Q42_11Post</v>
      </c>
    </row>
    <row r="306" spans="1:12" x14ac:dyDescent="0.25">
      <c r="A306" t="s">
        <v>2833</v>
      </c>
      <c r="I306" s="39" t="s">
        <v>3098</v>
      </c>
      <c r="J306" s="39" t="s">
        <v>3098</v>
      </c>
      <c r="K306" s="39" t="s">
        <v>3130</v>
      </c>
      <c r="L306" s="39" t="str">
        <f t="shared" si="1"/>
        <v>Q42_12Post</v>
      </c>
    </row>
    <row r="307" spans="1:12" x14ac:dyDescent="0.25">
      <c r="A307" t="s">
        <v>2834</v>
      </c>
      <c r="I307" s="39" t="s">
        <v>3099</v>
      </c>
      <c r="J307" s="39" t="s">
        <v>3099</v>
      </c>
      <c r="K307" s="39" t="s">
        <v>3130</v>
      </c>
      <c r="L307" s="39" t="str">
        <f t="shared" si="1"/>
        <v>Q42_13Post</v>
      </c>
    </row>
    <row r="308" spans="1:12" x14ac:dyDescent="0.25">
      <c r="A308" t="s">
        <v>2835</v>
      </c>
      <c r="I308" s="39" t="s">
        <v>3100</v>
      </c>
      <c r="J308" s="39" t="s">
        <v>3100</v>
      </c>
      <c r="K308" s="39" t="s">
        <v>3130</v>
      </c>
      <c r="L308" s="39" t="str">
        <f t="shared" si="1"/>
        <v>Q42_14Post</v>
      </c>
    </row>
    <row r="309" spans="1:12" x14ac:dyDescent="0.25">
      <c r="A309" t="s">
        <v>2836</v>
      </c>
      <c r="I309" s="39" t="s">
        <v>3101</v>
      </c>
      <c r="J309" s="39" t="s">
        <v>3101</v>
      </c>
      <c r="K309" s="39" t="s">
        <v>3130</v>
      </c>
      <c r="L309" s="39" t="str">
        <f t="shared" si="1"/>
        <v>Q42_15Post</v>
      </c>
    </row>
    <row r="310" spans="1:12" x14ac:dyDescent="0.25">
      <c r="A310" t="s">
        <v>2837</v>
      </c>
      <c r="I310" s="39" t="s">
        <v>3102</v>
      </c>
      <c r="J310" s="39" t="s">
        <v>3102</v>
      </c>
      <c r="K310" s="39" t="s">
        <v>3130</v>
      </c>
      <c r="L310" s="39" t="str">
        <f t="shared" si="1"/>
        <v>Q42_16Post</v>
      </c>
    </row>
    <row r="311" spans="1:12" x14ac:dyDescent="0.25">
      <c r="A311" t="s">
        <v>2838</v>
      </c>
      <c r="I311" t="s">
        <v>2916</v>
      </c>
      <c r="J311" s="39" t="s">
        <v>2916</v>
      </c>
      <c r="K311" s="39" t="s">
        <v>3130</v>
      </c>
      <c r="L311" s="39" t="str">
        <f t="shared" si="1"/>
        <v>Q43Post</v>
      </c>
    </row>
    <row r="312" spans="1:12" x14ac:dyDescent="0.25">
      <c r="A312" t="s">
        <v>2839</v>
      </c>
      <c r="I312" t="s">
        <v>2917</v>
      </c>
      <c r="J312" s="39" t="s">
        <v>2917</v>
      </c>
      <c r="K312" s="39" t="s">
        <v>3130</v>
      </c>
      <c r="L312" s="39" t="str">
        <f t="shared" si="1"/>
        <v>Q45Post</v>
      </c>
    </row>
    <row r="313" spans="1:12" x14ac:dyDescent="0.25">
      <c r="A313" t="s">
        <v>2840</v>
      </c>
      <c r="I313" t="s">
        <v>2918</v>
      </c>
      <c r="J313" s="39" t="s">
        <v>2918</v>
      </c>
      <c r="K313" s="39" t="s">
        <v>3130</v>
      </c>
      <c r="L313" s="39" t="str">
        <f t="shared" si="1"/>
        <v>Q46Post</v>
      </c>
    </row>
    <row r="314" spans="1:12" x14ac:dyDescent="0.25">
      <c r="A314" t="s">
        <v>2841</v>
      </c>
      <c r="I314" t="s">
        <v>2919</v>
      </c>
      <c r="J314" s="39" t="s">
        <v>2919</v>
      </c>
      <c r="K314" s="39" t="s">
        <v>3130</v>
      </c>
      <c r="L314" s="39" t="str">
        <f t="shared" si="1"/>
        <v>Q47Post</v>
      </c>
    </row>
    <row r="315" spans="1:12" x14ac:dyDescent="0.25">
      <c r="A315" t="s">
        <v>2842</v>
      </c>
      <c r="I315" t="s">
        <v>2920</v>
      </c>
      <c r="J315" s="39" t="s">
        <v>2920</v>
      </c>
      <c r="K315" s="39" t="s">
        <v>3130</v>
      </c>
      <c r="L315" s="39" t="str">
        <f t="shared" si="1"/>
        <v>Q48Post</v>
      </c>
    </row>
    <row r="316" spans="1:12" x14ac:dyDescent="0.25">
      <c r="A316" t="s">
        <v>2843</v>
      </c>
      <c r="I316" t="s">
        <v>2921</v>
      </c>
      <c r="J316" s="39" t="s">
        <v>2921</v>
      </c>
      <c r="K316" s="39" t="s">
        <v>3130</v>
      </c>
      <c r="L316" s="39" t="str">
        <f t="shared" si="1"/>
        <v>Q49Post</v>
      </c>
    </row>
    <row r="317" spans="1:12" x14ac:dyDescent="0.25">
      <c r="A317" t="s">
        <v>2844</v>
      </c>
      <c r="I317" t="s">
        <v>2922</v>
      </c>
      <c r="J317" s="39" t="s">
        <v>2922</v>
      </c>
      <c r="K317" s="39" t="s">
        <v>3130</v>
      </c>
      <c r="L317" s="39" t="str">
        <f t="shared" si="1"/>
        <v>Q50Post</v>
      </c>
    </row>
    <row r="318" spans="1:12" x14ac:dyDescent="0.25">
      <c r="A318" t="s">
        <v>2845</v>
      </c>
      <c r="I318" t="s">
        <v>2923</v>
      </c>
      <c r="J318" s="39" t="s">
        <v>2923</v>
      </c>
      <c r="K318" s="39" t="s">
        <v>3130</v>
      </c>
      <c r="L318" s="39" t="str">
        <f t="shared" si="1"/>
        <v>Q51Post</v>
      </c>
    </row>
    <row r="319" spans="1:12" x14ac:dyDescent="0.25">
      <c r="A319" t="s">
        <v>2846</v>
      </c>
      <c r="I319" t="s">
        <v>2924</v>
      </c>
      <c r="J319" s="39" t="s">
        <v>2924</v>
      </c>
      <c r="K319" s="39" t="s">
        <v>3130</v>
      </c>
      <c r="L319" s="39" t="str">
        <f t="shared" si="1"/>
        <v>Q52Post</v>
      </c>
    </row>
    <row r="320" spans="1:12" x14ac:dyDescent="0.25">
      <c r="A320" t="s">
        <v>2847</v>
      </c>
      <c r="I320" t="s">
        <v>2925</v>
      </c>
      <c r="J320" s="39" t="s">
        <v>2925</v>
      </c>
      <c r="K320" s="39" t="s">
        <v>3130</v>
      </c>
      <c r="L320" s="39" t="str">
        <f t="shared" si="1"/>
        <v>Q53Post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Value">
                <anchor moveWithCells="1" sizeWithCells="1">
                  <from>
                    <xdr:col>5</xdr:col>
                    <xdr:colOff>19050</xdr:colOff>
                    <xdr:row>1</xdr:row>
                    <xdr:rowOff>19050</xdr:rowOff>
                  </from>
                  <to>
                    <xdr:col>7</xdr:col>
                    <xdr:colOff>9525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00B0F0"/>
  </sheetPr>
  <dimension ref="A1:L2464"/>
  <sheetViews>
    <sheetView zoomScale="85" zoomScaleNormal="85" workbookViewId="0">
      <pane ySplit="10" topLeftCell="A11" activePane="bottomLeft" state="frozen"/>
      <selection pane="bottomLeft" activeCell="P15" sqref="P15"/>
    </sheetView>
  </sheetViews>
  <sheetFormatPr defaultRowHeight="15" x14ac:dyDescent="0.25"/>
  <cols>
    <col min="1" max="1" width="22.5703125" customWidth="1"/>
    <col min="2" max="16" width="7.140625" customWidth="1"/>
  </cols>
  <sheetData>
    <row r="1" spans="1:12" ht="16.5" thickBot="1" x14ac:dyDescent="0.3">
      <c r="A1" s="2" t="s">
        <v>0</v>
      </c>
      <c r="B1" s="1"/>
    </row>
    <row r="2" spans="1:12" ht="15.75" thickTop="1" x14ac:dyDescent="0.25"/>
    <row r="3" spans="1:12" x14ac:dyDescent="0.25">
      <c r="A3" s="6" t="s">
        <v>2128</v>
      </c>
      <c r="B3" s="9" t="s">
        <v>2123</v>
      </c>
      <c r="C3" s="9" t="s">
        <v>2124</v>
      </c>
      <c r="D3" s="9" t="s">
        <v>2125</v>
      </c>
      <c r="E3" s="10" t="s">
        <v>2126</v>
      </c>
      <c r="F3" s="10" t="s">
        <v>2127</v>
      </c>
    </row>
    <row r="4" spans="1:12" x14ac:dyDescent="0.25">
      <c r="A4" s="7" t="s">
        <v>2129</v>
      </c>
      <c r="B4" s="9" t="s">
        <v>2130</v>
      </c>
      <c r="C4" s="9" t="s">
        <v>2131</v>
      </c>
      <c r="D4" s="9" t="s">
        <v>2125</v>
      </c>
      <c r="E4" s="10" t="s">
        <v>2126</v>
      </c>
      <c r="F4" s="10" t="s">
        <v>2127</v>
      </c>
    </row>
    <row r="5" spans="1:12" x14ac:dyDescent="0.25">
      <c r="A5" s="7" t="s">
        <v>2132</v>
      </c>
      <c r="B5" s="9" t="s">
        <v>2133</v>
      </c>
      <c r="C5" s="9" t="s">
        <v>2134</v>
      </c>
      <c r="D5" s="9" t="s">
        <v>2135</v>
      </c>
      <c r="E5" s="10" t="s">
        <v>2136</v>
      </c>
      <c r="F5" s="10" t="s">
        <v>2127</v>
      </c>
    </row>
    <row r="6" spans="1:12" x14ac:dyDescent="0.25">
      <c r="A6" s="7" t="s">
        <v>2137</v>
      </c>
      <c r="B6" s="9" t="s">
        <v>2133</v>
      </c>
      <c r="C6" s="9" t="s">
        <v>2134</v>
      </c>
      <c r="D6" s="9" t="s">
        <v>2138</v>
      </c>
      <c r="E6" s="10" t="s">
        <v>2136</v>
      </c>
      <c r="F6" s="10" t="s">
        <v>2127</v>
      </c>
    </row>
    <row r="7" spans="1:12" x14ac:dyDescent="0.25">
      <c r="A7" s="7" t="s">
        <v>2139</v>
      </c>
      <c r="B7" s="10"/>
      <c r="C7" s="11"/>
      <c r="D7" s="11"/>
      <c r="E7" s="11"/>
      <c r="F7" s="11"/>
    </row>
    <row r="8" spans="1:12" x14ac:dyDescent="0.25">
      <c r="A8" s="3"/>
      <c r="B8" s="4"/>
      <c r="C8" s="4"/>
      <c r="D8" s="4"/>
      <c r="E8" s="4"/>
    </row>
    <row r="9" spans="1:12" x14ac:dyDescent="0.25">
      <c r="A9" s="3"/>
      <c r="B9" s="4"/>
      <c r="C9" s="4"/>
      <c r="D9" s="4"/>
      <c r="E9" s="4"/>
    </row>
    <row r="10" spans="1:12" x14ac:dyDescent="0.25">
      <c r="A10" s="13" t="s">
        <v>2122</v>
      </c>
      <c r="B10" s="4"/>
      <c r="C10" s="4"/>
      <c r="D10" s="4"/>
      <c r="E10" s="4"/>
      <c r="H10" s="13" t="s">
        <v>2140</v>
      </c>
      <c r="I10" s="12"/>
      <c r="K10" s="13" t="s">
        <v>2141</v>
      </c>
      <c r="L10" s="12"/>
    </row>
    <row r="11" spans="1:12" x14ac:dyDescent="0.25">
      <c r="A11" t="s">
        <v>992</v>
      </c>
      <c r="H11" s="14">
        <v>1</v>
      </c>
      <c r="K11" t="s">
        <v>2219</v>
      </c>
    </row>
    <row r="12" spans="1:12" x14ac:dyDescent="0.25">
      <c r="A12" t="s">
        <v>993</v>
      </c>
      <c r="H12" s="14"/>
      <c r="K12" t="s">
        <v>2221</v>
      </c>
    </row>
    <row r="13" spans="1:12" x14ac:dyDescent="0.25">
      <c r="A13" t="s">
        <v>994</v>
      </c>
      <c r="H13" s="14">
        <v>2</v>
      </c>
      <c r="K13" t="s">
        <v>2220</v>
      </c>
    </row>
    <row r="14" spans="1:12" x14ac:dyDescent="0.25">
      <c r="A14" t="s">
        <v>998</v>
      </c>
      <c r="H14" s="14"/>
    </row>
    <row r="15" spans="1:12" x14ac:dyDescent="0.25">
      <c r="A15" t="s">
        <v>2119</v>
      </c>
      <c r="H15" s="14"/>
      <c r="K15" t="s">
        <v>2219</v>
      </c>
    </row>
    <row r="16" spans="1:12" x14ac:dyDescent="0.25">
      <c r="A16" t="s">
        <v>999</v>
      </c>
      <c r="H16" s="14"/>
      <c r="K16" t="s">
        <v>2222</v>
      </c>
    </row>
    <row r="17" spans="1:11" x14ac:dyDescent="0.25">
      <c r="A17" t="s">
        <v>1000</v>
      </c>
      <c r="H17" s="14"/>
      <c r="K17" t="s">
        <v>2220</v>
      </c>
    </row>
    <row r="18" spans="1:11" x14ac:dyDescent="0.25">
      <c r="A18" t="s">
        <v>1001</v>
      </c>
      <c r="H18" s="14"/>
    </row>
    <row r="19" spans="1:11" x14ac:dyDescent="0.25">
      <c r="A19" t="s">
        <v>1002</v>
      </c>
      <c r="H19" s="14"/>
    </row>
    <row r="20" spans="1:11" x14ac:dyDescent="0.25">
      <c r="A20" t="s">
        <v>1003</v>
      </c>
      <c r="H20" s="14"/>
    </row>
    <row r="21" spans="1:11" x14ac:dyDescent="0.25">
      <c r="A21" t="s">
        <v>1004</v>
      </c>
      <c r="H21" s="14"/>
    </row>
    <row r="22" spans="1:11" x14ac:dyDescent="0.25">
      <c r="A22" t="s">
        <v>1005</v>
      </c>
      <c r="H22" s="14"/>
    </row>
    <row r="23" spans="1:11" x14ac:dyDescent="0.25">
      <c r="A23" t="s">
        <v>1006</v>
      </c>
      <c r="H23" s="14"/>
    </row>
    <row r="24" spans="1:11" x14ac:dyDescent="0.25">
      <c r="A24" t="s">
        <v>2</v>
      </c>
      <c r="H24" s="14"/>
    </row>
    <row r="25" spans="1:11" x14ac:dyDescent="0.25">
      <c r="A25" t="s">
        <v>3</v>
      </c>
      <c r="H25" s="14"/>
    </row>
    <row r="26" spans="1:11" x14ac:dyDescent="0.25">
      <c r="A26" t="s">
        <v>1007</v>
      </c>
      <c r="H26" s="14"/>
    </row>
    <row r="27" spans="1:11" x14ac:dyDescent="0.25">
      <c r="A27" t="s">
        <v>2022</v>
      </c>
      <c r="H27" s="14"/>
    </row>
    <row r="28" spans="1:11" x14ac:dyDescent="0.25">
      <c r="A28" t="s">
        <v>1008</v>
      </c>
      <c r="H28" s="14"/>
    </row>
    <row r="29" spans="1:11" x14ac:dyDescent="0.25">
      <c r="A29" t="s">
        <v>1009</v>
      </c>
      <c r="H29" s="14"/>
    </row>
    <row r="30" spans="1:11" x14ac:dyDescent="0.25">
      <c r="A30" t="s">
        <v>1057</v>
      </c>
      <c r="H30" s="14"/>
    </row>
    <row r="31" spans="1:11" x14ac:dyDescent="0.25">
      <c r="A31" t="s">
        <v>1058</v>
      </c>
      <c r="H31" s="14"/>
    </row>
    <row r="32" spans="1:11" x14ac:dyDescent="0.25">
      <c r="A32" t="s">
        <v>1010</v>
      </c>
      <c r="H32" s="14"/>
    </row>
    <row r="33" spans="1:8" x14ac:dyDescent="0.25">
      <c r="A33" t="s">
        <v>1059</v>
      </c>
      <c r="H33" s="14"/>
    </row>
    <row r="34" spans="1:8" x14ac:dyDescent="0.25">
      <c r="A34" t="s">
        <v>1060</v>
      </c>
      <c r="H34" s="14"/>
    </row>
    <row r="35" spans="1:8" x14ac:dyDescent="0.25">
      <c r="A35" t="s">
        <v>1061</v>
      </c>
      <c r="H35" s="14"/>
    </row>
    <row r="36" spans="1:8" x14ac:dyDescent="0.25">
      <c r="A36" t="s">
        <v>1011</v>
      </c>
      <c r="H36" s="14"/>
    </row>
    <row r="37" spans="1:8" x14ac:dyDescent="0.25">
      <c r="A37" t="s">
        <v>1062</v>
      </c>
      <c r="H37" s="14"/>
    </row>
    <row r="38" spans="1:8" x14ac:dyDescent="0.25">
      <c r="A38" t="s">
        <v>1012</v>
      </c>
      <c r="H38" s="14"/>
    </row>
    <row r="39" spans="1:8" x14ac:dyDescent="0.25">
      <c r="A39" t="s">
        <v>1063</v>
      </c>
      <c r="H39" s="14"/>
    </row>
    <row r="40" spans="1:8" x14ac:dyDescent="0.25">
      <c r="A40" t="s">
        <v>1013</v>
      </c>
      <c r="H40" s="14"/>
    </row>
    <row r="41" spans="1:8" x14ac:dyDescent="0.25">
      <c r="A41" t="s">
        <v>1014</v>
      </c>
      <c r="H41" s="14"/>
    </row>
    <row r="42" spans="1:8" x14ac:dyDescent="0.25">
      <c r="A42" t="s">
        <v>1015</v>
      </c>
      <c r="H42" s="14"/>
    </row>
    <row r="43" spans="1:8" x14ac:dyDescent="0.25">
      <c r="A43" t="s">
        <v>1016</v>
      </c>
      <c r="H43" s="14"/>
    </row>
    <row r="44" spans="1:8" x14ac:dyDescent="0.25">
      <c r="A44" t="s">
        <v>1017</v>
      </c>
      <c r="H44" s="14"/>
    </row>
    <row r="45" spans="1:8" x14ac:dyDescent="0.25">
      <c r="A45" t="s">
        <v>1018</v>
      </c>
      <c r="H45" s="14"/>
    </row>
    <row r="46" spans="1:8" x14ac:dyDescent="0.25">
      <c r="A46" t="s">
        <v>1064</v>
      </c>
      <c r="H46" s="14"/>
    </row>
    <row r="47" spans="1:8" x14ac:dyDescent="0.25">
      <c r="A47" t="s">
        <v>1019</v>
      </c>
      <c r="H47" s="14"/>
    </row>
    <row r="48" spans="1:8" x14ac:dyDescent="0.25">
      <c r="A48" t="s">
        <v>1065</v>
      </c>
      <c r="H48" s="14"/>
    </row>
    <row r="49" spans="1:8" x14ac:dyDescent="0.25">
      <c r="A49" t="s">
        <v>1020</v>
      </c>
      <c r="H49" s="14"/>
    </row>
    <row r="50" spans="1:8" x14ac:dyDescent="0.25">
      <c r="A50" t="s">
        <v>1021</v>
      </c>
      <c r="H50" s="14"/>
    </row>
    <row r="51" spans="1:8" x14ac:dyDescent="0.25">
      <c r="A51" t="s">
        <v>1066</v>
      </c>
      <c r="H51" s="14"/>
    </row>
    <row r="52" spans="1:8" x14ac:dyDescent="0.25">
      <c r="A52" t="s">
        <v>1067</v>
      </c>
      <c r="H52" s="14"/>
    </row>
    <row r="53" spans="1:8" x14ac:dyDescent="0.25">
      <c r="A53" t="s">
        <v>1022</v>
      </c>
      <c r="H53" s="14"/>
    </row>
    <row r="54" spans="1:8" x14ac:dyDescent="0.25">
      <c r="A54" t="s">
        <v>1068</v>
      </c>
      <c r="H54" s="14"/>
    </row>
    <row r="55" spans="1:8" x14ac:dyDescent="0.25">
      <c r="A55" t="s">
        <v>1069</v>
      </c>
      <c r="H55" s="14"/>
    </row>
    <row r="56" spans="1:8" x14ac:dyDescent="0.25">
      <c r="A56" t="s">
        <v>1070</v>
      </c>
      <c r="H56" s="14"/>
    </row>
    <row r="57" spans="1:8" x14ac:dyDescent="0.25">
      <c r="A57" t="s">
        <v>1023</v>
      </c>
      <c r="H57" s="14"/>
    </row>
    <row r="58" spans="1:8" x14ac:dyDescent="0.25">
      <c r="A58" t="s">
        <v>1071</v>
      </c>
      <c r="H58" s="14"/>
    </row>
    <row r="59" spans="1:8" x14ac:dyDescent="0.25">
      <c r="A59" t="s">
        <v>1024</v>
      </c>
      <c r="H59" s="14"/>
    </row>
    <row r="60" spans="1:8" x14ac:dyDescent="0.25">
      <c r="A60" t="s">
        <v>1072</v>
      </c>
      <c r="H60" s="14"/>
    </row>
    <row r="61" spans="1:8" x14ac:dyDescent="0.25">
      <c r="A61" t="s">
        <v>1025</v>
      </c>
      <c r="H61" s="14"/>
    </row>
    <row r="62" spans="1:8" x14ac:dyDescent="0.25">
      <c r="A62" t="s">
        <v>1073</v>
      </c>
      <c r="H62" s="14"/>
    </row>
    <row r="63" spans="1:8" x14ac:dyDescent="0.25">
      <c r="A63" t="s">
        <v>1026</v>
      </c>
      <c r="H63" s="14"/>
    </row>
    <row r="64" spans="1:8" x14ac:dyDescent="0.25">
      <c r="A64" t="s">
        <v>1027</v>
      </c>
      <c r="H64" s="14"/>
    </row>
    <row r="65" spans="1:8" x14ac:dyDescent="0.25">
      <c r="A65" t="s">
        <v>1028</v>
      </c>
      <c r="H65" s="14"/>
    </row>
    <row r="66" spans="1:8" x14ac:dyDescent="0.25">
      <c r="A66" t="s">
        <v>1074</v>
      </c>
      <c r="H66" s="14"/>
    </row>
    <row r="67" spans="1:8" x14ac:dyDescent="0.25">
      <c r="A67" t="s">
        <v>1075</v>
      </c>
      <c r="H67" s="14"/>
    </row>
    <row r="68" spans="1:8" x14ac:dyDescent="0.25">
      <c r="A68" t="s">
        <v>1076</v>
      </c>
      <c r="H68" s="14"/>
    </row>
    <row r="69" spans="1:8" x14ac:dyDescent="0.25">
      <c r="A69" t="s">
        <v>1029</v>
      </c>
      <c r="H69" s="14"/>
    </row>
    <row r="70" spans="1:8" x14ac:dyDescent="0.25">
      <c r="A70" t="s">
        <v>1077</v>
      </c>
      <c r="H70" s="14"/>
    </row>
    <row r="71" spans="1:8" x14ac:dyDescent="0.25">
      <c r="A71" t="s">
        <v>1078</v>
      </c>
      <c r="H71" s="14"/>
    </row>
    <row r="72" spans="1:8" x14ac:dyDescent="0.25">
      <c r="A72" t="s">
        <v>1030</v>
      </c>
      <c r="H72" s="14"/>
    </row>
    <row r="73" spans="1:8" x14ac:dyDescent="0.25">
      <c r="A73" t="s">
        <v>1079</v>
      </c>
      <c r="H73" s="14"/>
    </row>
    <row r="74" spans="1:8" x14ac:dyDescent="0.25">
      <c r="A74" t="s">
        <v>1080</v>
      </c>
      <c r="H74" s="14"/>
    </row>
    <row r="75" spans="1:8" x14ac:dyDescent="0.25">
      <c r="A75" t="s">
        <v>1031</v>
      </c>
      <c r="H75" s="14"/>
    </row>
    <row r="76" spans="1:8" x14ac:dyDescent="0.25">
      <c r="A76" t="s">
        <v>1032</v>
      </c>
      <c r="H76" s="14"/>
    </row>
    <row r="77" spans="1:8" x14ac:dyDescent="0.25">
      <c r="A77" t="s">
        <v>1081</v>
      </c>
      <c r="H77" s="14"/>
    </row>
    <row r="78" spans="1:8" x14ac:dyDescent="0.25">
      <c r="A78" t="s">
        <v>1033</v>
      </c>
      <c r="H78" s="14"/>
    </row>
    <row r="79" spans="1:8" x14ac:dyDescent="0.25">
      <c r="A79" t="s">
        <v>1082</v>
      </c>
      <c r="H79" s="14"/>
    </row>
    <row r="80" spans="1:8" x14ac:dyDescent="0.25">
      <c r="A80" t="s">
        <v>1083</v>
      </c>
      <c r="H80" s="14"/>
    </row>
    <row r="81" spans="1:8" x14ac:dyDescent="0.25">
      <c r="A81" t="s">
        <v>1084</v>
      </c>
      <c r="H81" s="14"/>
    </row>
    <row r="82" spans="1:8" x14ac:dyDescent="0.25">
      <c r="A82" t="s">
        <v>1034</v>
      </c>
      <c r="H82" s="14"/>
    </row>
    <row r="83" spans="1:8" x14ac:dyDescent="0.25">
      <c r="A83" t="s">
        <v>1035</v>
      </c>
      <c r="H83" s="14"/>
    </row>
    <row r="84" spans="1:8" x14ac:dyDescent="0.25">
      <c r="A84" t="s">
        <v>1036</v>
      </c>
      <c r="H84" s="14"/>
    </row>
    <row r="85" spans="1:8" x14ac:dyDescent="0.25">
      <c r="A85" t="s">
        <v>31</v>
      </c>
      <c r="H85" s="14"/>
    </row>
    <row r="86" spans="1:8" x14ac:dyDescent="0.25">
      <c r="A86" t="s">
        <v>2023</v>
      </c>
      <c r="H86" s="14"/>
    </row>
    <row r="87" spans="1:8" x14ac:dyDescent="0.25">
      <c r="A87" t="s">
        <v>32</v>
      </c>
      <c r="H87" s="14"/>
    </row>
    <row r="88" spans="1:8" x14ac:dyDescent="0.25">
      <c r="A88" t="s">
        <v>33</v>
      </c>
      <c r="H88" s="14"/>
    </row>
    <row r="89" spans="1:8" x14ac:dyDescent="0.25">
      <c r="A89" t="s">
        <v>1085</v>
      </c>
      <c r="H89" s="14"/>
    </row>
    <row r="90" spans="1:8" x14ac:dyDescent="0.25">
      <c r="A90" t="s">
        <v>1086</v>
      </c>
      <c r="H90" s="14"/>
    </row>
    <row r="91" spans="1:8" x14ac:dyDescent="0.25">
      <c r="A91" t="s">
        <v>34</v>
      </c>
      <c r="H91" s="14"/>
    </row>
    <row r="92" spans="1:8" x14ac:dyDescent="0.25">
      <c r="A92" t="s">
        <v>1087</v>
      </c>
      <c r="H92" s="14"/>
    </row>
    <row r="93" spans="1:8" x14ac:dyDescent="0.25">
      <c r="A93" t="s">
        <v>1088</v>
      </c>
      <c r="H93" s="14"/>
    </row>
    <row r="94" spans="1:8" x14ac:dyDescent="0.25">
      <c r="A94" t="s">
        <v>1089</v>
      </c>
      <c r="H94" s="14"/>
    </row>
    <row r="95" spans="1:8" x14ac:dyDescent="0.25">
      <c r="A95" t="s">
        <v>35</v>
      </c>
      <c r="H95" s="14"/>
    </row>
    <row r="96" spans="1:8" x14ac:dyDescent="0.25">
      <c r="A96" t="s">
        <v>1090</v>
      </c>
      <c r="H96" s="14"/>
    </row>
    <row r="97" spans="1:8" x14ac:dyDescent="0.25">
      <c r="A97" t="s">
        <v>36</v>
      </c>
      <c r="H97" s="14"/>
    </row>
    <row r="98" spans="1:8" x14ac:dyDescent="0.25">
      <c r="A98" t="s">
        <v>1091</v>
      </c>
      <c r="H98" s="14"/>
    </row>
    <row r="99" spans="1:8" x14ac:dyDescent="0.25">
      <c r="A99" t="s">
        <v>37</v>
      </c>
      <c r="H99" s="14"/>
    </row>
    <row r="100" spans="1:8" x14ac:dyDescent="0.25">
      <c r="A100" t="s">
        <v>38</v>
      </c>
      <c r="H100" s="14"/>
    </row>
    <row r="101" spans="1:8" x14ac:dyDescent="0.25">
      <c r="A101" t="s">
        <v>39</v>
      </c>
      <c r="H101" s="14"/>
    </row>
    <row r="102" spans="1:8" x14ac:dyDescent="0.25">
      <c r="A102" t="s">
        <v>40</v>
      </c>
      <c r="H102" s="14"/>
    </row>
    <row r="103" spans="1:8" x14ac:dyDescent="0.25">
      <c r="A103" t="s">
        <v>41</v>
      </c>
      <c r="H103" s="14"/>
    </row>
    <row r="104" spans="1:8" x14ac:dyDescent="0.25">
      <c r="A104" t="s">
        <v>42</v>
      </c>
      <c r="H104" s="14"/>
    </row>
    <row r="105" spans="1:8" x14ac:dyDescent="0.25">
      <c r="A105" t="s">
        <v>1092</v>
      </c>
      <c r="H105" s="14"/>
    </row>
    <row r="106" spans="1:8" x14ac:dyDescent="0.25">
      <c r="A106" t="s">
        <v>43</v>
      </c>
      <c r="H106" s="14"/>
    </row>
    <row r="107" spans="1:8" x14ac:dyDescent="0.25">
      <c r="A107" t="s">
        <v>1093</v>
      </c>
      <c r="H107" s="14"/>
    </row>
    <row r="108" spans="1:8" x14ac:dyDescent="0.25">
      <c r="A108" t="s">
        <v>44</v>
      </c>
      <c r="H108" s="14"/>
    </row>
    <row r="109" spans="1:8" x14ac:dyDescent="0.25">
      <c r="A109" t="s">
        <v>45</v>
      </c>
      <c r="H109" s="14"/>
    </row>
    <row r="110" spans="1:8" x14ac:dyDescent="0.25">
      <c r="A110" t="s">
        <v>1094</v>
      </c>
      <c r="H110" s="14"/>
    </row>
    <row r="111" spans="1:8" x14ac:dyDescent="0.25">
      <c r="A111" t="s">
        <v>1095</v>
      </c>
      <c r="H111" s="14"/>
    </row>
    <row r="112" spans="1:8" x14ac:dyDescent="0.25">
      <c r="A112" t="s">
        <v>46</v>
      </c>
      <c r="H112" s="14"/>
    </row>
    <row r="113" spans="1:8" x14ac:dyDescent="0.25">
      <c r="A113" t="s">
        <v>1096</v>
      </c>
      <c r="H113" s="14"/>
    </row>
    <row r="114" spans="1:8" x14ac:dyDescent="0.25">
      <c r="A114" t="s">
        <v>1097</v>
      </c>
      <c r="H114" s="14"/>
    </row>
    <row r="115" spans="1:8" x14ac:dyDescent="0.25">
      <c r="A115" t="s">
        <v>1098</v>
      </c>
      <c r="H115" s="14"/>
    </row>
    <row r="116" spans="1:8" x14ac:dyDescent="0.25">
      <c r="A116" t="s">
        <v>47</v>
      </c>
      <c r="H116" s="14"/>
    </row>
    <row r="117" spans="1:8" x14ac:dyDescent="0.25">
      <c r="A117" t="s">
        <v>1099</v>
      </c>
      <c r="H117" s="14"/>
    </row>
    <row r="118" spans="1:8" x14ac:dyDescent="0.25">
      <c r="A118" t="s">
        <v>48</v>
      </c>
      <c r="H118" s="14"/>
    </row>
    <row r="119" spans="1:8" x14ac:dyDescent="0.25">
      <c r="A119" t="s">
        <v>1100</v>
      </c>
      <c r="H119" s="14"/>
    </row>
    <row r="120" spans="1:8" x14ac:dyDescent="0.25">
      <c r="A120" t="s">
        <v>49</v>
      </c>
      <c r="H120" s="14"/>
    </row>
    <row r="121" spans="1:8" x14ac:dyDescent="0.25">
      <c r="A121" t="s">
        <v>1101</v>
      </c>
      <c r="H121" s="14"/>
    </row>
    <row r="122" spans="1:8" x14ac:dyDescent="0.25">
      <c r="A122" t="s">
        <v>50</v>
      </c>
      <c r="H122" s="14"/>
    </row>
    <row r="123" spans="1:8" x14ac:dyDescent="0.25">
      <c r="A123" t="s">
        <v>51</v>
      </c>
      <c r="H123" s="14"/>
    </row>
    <row r="124" spans="1:8" x14ac:dyDescent="0.25">
      <c r="A124" t="s">
        <v>52</v>
      </c>
      <c r="H124" s="14"/>
    </row>
    <row r="125" spans="1:8" x14ac:dyDescent="0.25">
      <c r="A125" t="s">
        <v>1102</v>
      </c>
      <c r="H125" s="14"/>
    </row>
    <row r="126" spans="1:8" x14ac:dyDescent="0.25">
      <c r="A126" t="s">
        <v>1103</v>
      </c>
      <c r="H126" s="14"/>
    </row>
    <row r="127" spans="1:8" x14ac:dyDescent="0.25">
      <c r="A127" t="s">
        <v>1104</v>
      </c>
      <c r="H127" s="14"/>
    </row>
    <row r="128" spans="1:8" x14ac:dyDescent="0.25">
      <c r="A128" t="s">
        <v>53</v>
      </c>
      <c r="H128" s="14"/>
    </row>
    <row r="129" spans="1:8" x14ac:dyDescent="0.25">
      <c r="A129" t="s">
        <v>1105</v>
      </c>
      <c r="H129" s="14"/>
    </row>
    <row r="130" spans="1:8" x14ac:dyDescent="0.25">
      <c r="A130" t="s">
        <v>1106</v>
      </c>
      <c r="H130" s="14"/>
    </row>
    <row r="131" spans="1:8" x14ac:dyDescent="0.25">
      <c r="A131" t="s">
        <v>54</v>
      </c>
      <c r="H131" s="14"/>
    </row>
    <row r="132" spans="1:8" x14ac:dyDescent="0.25">
      <c r="A132" t="s">
        <v>1107</v>
      </c>
      <c r="H132" s="14"/>
    </row>
    <row r="133" spans="1:8" x14ac:dyDescent="0.25">
      <c r="A133" t="s">
        <v>1108</v>
      </c>
      <c r="H133" s="14"/>
    </row>
    <row r="134" spans="1:8" x14ac:dyDescent="0.25">
      <c r="A134" t="s">
        <v>55</v>
      </c>
      <c r="H134" s="14"/>
    </row>
    <row r="135" spans="1:8" x14ac:dyDescent="0.25">
      <c r="A135" t="s">
        <v>56</v>
      </c>
      <c r="H135" s="14"/>
    </row>
    <row r="136" spans="1:8" x14ac:dyDescent="0.25">
      <c r="A136" t="s">
        <v>1109</v>
      </c>
      <c r="H136" s="14"/>
    </row>
    <row r="137" spans="1:8" x14ac:dyDescent="0.25">
      <c r="A137" t="s">
        <v>57</v>
      </c>
      <c r="H137" s="14"/>
    </row>
    <row r="138" spans="1:8" x14ac:dyDescent="0.25">
      <c r="A138" t="s">
        <v>1110</v>
      </c>
      <c r="H138" s="14"/>
    </row>
    <row r="139" spans="1:8" x14ac:dyDescent="0.25">
      <c r="A139" t="s">
        <v>1111</v>
      </c>
      <c r="H139" s="14"/>
    </row>
    <row r="140" spans="1:8" x14ac:dyDescent="0.25">
      <c r="A140" t="s">
        <v>1112</v>
      </c>
      <c r="H140" s="14"/>
    </row>
    <row r="141" spans="1:8" x14ac:dyDescent="0.25">
      <c r="A141" t="s">
        <v>58</v>
      </c>
      <c r="H141" s="14"/>
    </row>
    <row r="142" spans="1:8" x14ac:dyDescent="0.25">
      <c r="A142" t="s">
        <v>59</v>
      </c>
      <c r="H142" s="14"/>
    </row>
    <row r="143" spans="1:8" x14ac:dyDescent="0.25">
      <c r="A143" t="s">
        <v>60</v>
      </c>
      <c r="H143" s="14"/>
    </row>
    <row r="144" spans="1:8" x14ac:dyDescent="0.25">
      <c r="A144" t="s">
        <v>2024</v>
      </c>
      <c r="H144" s="14"/>
    </row>
    <row r="145" spans="1:8" x14ac:dyDescent="0.25">
      <c r="A145" t="s">
        <v>61</v>
      </c>
      <c r="H145" s="14"/>
    </row>
    <row r="146" spans="1:8" x14ac:dyDescent="0.25">
      <c r="A146" t="s">
        <v>1113</v>
      </c>
      <c r="H146" s="14"/>
    </row>
    <row r="147" spans="1:8" x14ac:dyDescent="0.25">
      <c r="A147" t="s">
        <v>1114</v>
      </c>
      <c r="H147" s="14"/>
    </row>
    <row r="148" spans="1:8" x14ac:dyDescent="0.25">
      <c r="A148" t="s">
        <v>62</v>
      </c>
      <c r="H148" s="14"/>
    </row>
    <row r="149" spans="1:8" x14ac:dyDescent="0.25">
      <c r="A149" t="s">
        <v>1115</v>
      </c>
      <c r="H149" s="14"/>
    </row>
    <row r="150" spans="1:8" x14ac:dyDescent="0.25">
      <c r="A150" t="s">
        <v>1116</v>
      </c>
      <c r="H150" s="14"/>
    </row>
    <row r="151" spans="1:8" x14ac:dyDescent="0.25">
      <c r="A151" t="s">
        <v>1117</v>
      </c>
      <c r="H151" s="14"/>
    </row>
    <row r="152" spans="1:8" x14ac:dyDescent="0.25">
      <c r="A152" t="s">
        <v>63</v>
      </c>
      <c r="H152" s="14"/>
    </row>
    <row r="153" spans="1:8" x14ac:dyDescent="0.25">
      <c r="A153" t="s">
        <v>1118</v>
      </c>
      <c r="H153" s="14"/>
    </row>
    <row r="154" spans="1:8" x14ac:dyDescent="0.25">
      <c r="A154" t="s">
        <v>64</v>
      </c>
      <c r="H154" s="14"/>
    </row>
    <row r="155" spans="1:8" x14ac:dyDescent="0.25">
      <c r="A155" t="s">
        <v>1119</v>
      </c>
      <c r="H155" s="14"/>
    </row>
    <row r="156" spans="1:8" x14ac:dyDescent="0.25">
      <c r="A156" t="s">
        <v>65</v>
      </c>
      <c r="H156" s="14"/>
    </row>
    <row r="157" spans="1:8" x14ac:dyDescent="0.25">
      <c r="A157" t="s">
        <v>66</v>
      </c>
      <c r="H157" s="14"/>
    </row>
    <row r="158" spans="1:8" x14ac:dyDescent="0.25">
      <c r="A158" t="s">
        <v>67</v>
      </c>
      <c r="H158" s="14"/>
    </row>
    <row r="159" spans="1:8" x14ac:dyDescent="0.25">
      <c r="A159" t="s">
        <v>68</v>
      </c>
      <c r="H159" s="14"/>
    </row>
    <row r="160" spans="1:8" x14ac:dyDescent="0.25">
      <c r="A160" t="s">
        <v>69</v>
      </c>
      <c r="H160" s="14"/>
    </row>
    <row r="161" spans="1:8" x14ac:dyDescent="0.25">
      <c r="A161" t="s">
        <v>70</v>
      </c>
      <c r="H161" s="14"/>
    </row>
    <row r="162" spans="1:8" x14ac:dyDescent="0.25">
      <c r="A162" t="s">
        <v>1120</v>
      </c>
      <c r="H162" s="14"/>
    </row>
    <row r="163" spans="1:8" x14ac:dyDescent="0.25">
      <c r="A163" t="s">
        <v>71</v>
      </c>
      <c r="H163" s="14"/>
    </row>
    <row r="164" spans="1:8" x14ac:dyDescent="0.25">
      <c r="A164" t="s">
        <v>1121</v>
      </c>
      <c r="H164" s="14"/>
    </row>
    <row r="165" spans="1:8" x14ac:dyDescent="0.25">
      <c r="A165" t="s">
        <v>72</v>
      </c>
      <c r="H165" s="14"/>
    </row>
    <row r="166" spans="1:8" x14ac:dyDescent="0.25">
      <c r="A166" t="s">
        <v>73</v>
      </c>
      <c r="H166" s="14"/>
    </row>
    <row r="167" spans="1:8" x14ac:dyDescent="0.25">
      <c r="A167" t="s">
        <v>1122</v>
      </c>
      <c r="H167" s="14"/>
    </row>
    <row r="168" spans="1:8" x14ac:dyDescent="0.25">
      <c r="A168" t="s">
        <v>1123</v>
      </c>
      <c r="H168" s="14"/>
    </row>
    <row r="169" spans="1:8" x14ac:dyDescent="0.25">
      <c r="A169" t="s">
        <v>74</v>
      </c>
      <c r="H169" s="14"/>
    </row>
    <row r="170" spans="1:8" x14ac:dyDescent="0.25">
      <c r="A170" t="s">
        <v>1124</v>
      </c>
      <c r="H170" s="14"/>
    </row>
    <row r="171" spans="1:8" x14ac:dyDescent="0.25">
      <c r="A171" t="s">
        <v>1125</v>
      </c>
      <c r="H171" s="14"/>
    </row>
    <row r="172" spans="1:8" x14ac:dyDescent="0.25">
      <c r="A172" t="s">
        <v>1126</v>
      </c>
      <c r="H172" s="14"/>
    </row>
    <row r="173" spans="1:8" x14ac:dyDescent="0.25">
      <c r="A173" t="s">
        <v>75</v>
      </c>
      <c r="H173" s="14"/>
    </row>
    <row r="174" spans="1:8" x14ac:dyDescent="0.25">
      <c r="A174" t="s">
        <v>1127</v>
      </c>
      <c r="H174" s="14"/>
    </row>
    <row r="175" spans="1:8" x14ac:dyDescent="0.25">
      <c r="A175" t="s">
        <v>76</v>
      </c>
      <c r="H175" s="14"/>
    </row>
    <row r="176" spans="1:8" x14ac:dyDescent="0.25">
      <c r="A176" t="s">
        <v>1128</v>
      </c>
      <c r="H176" s="14"/>
    </row>
    <row r="177" spans="1:8" x14ac:dyDescent="0.25">
      <c r="A177" t="s">
        <v>77</v>
      </c>
      <c r="H177" s="14"/>
    </row>
    <row r="178" spans="1:8" x14ac:dyDescent="0.25">
      <c r="A178" t="s">
        <v>1129</v>
      </c>
      <c r="H178" s="14"/>
    </row>
    <row r="179" spans="1:8" x14ac:dyDescent="0.25">
      <c r="A179" t="s">
        <v>78</v>
      </c>
      <c r="H179" s="14"/>
    </row>
    <row r="180" spans="1:8" x14ac:dyDescent="0.25">
      <c r="A180" t="s">
        <v>79</v>
      </c>
      <c r="H180" s="14"/>
    </row>
    <row r="181" spans="1:8" x14ac:dyDescent="0.25">
      <c r="A181" t="s">
        <v>80</v>
      </c>
      <c r="H181" s="14"/>
    </row>
    <row r="182" spans="1:8" x14ac:dyDescent="0.25">
      <c r="A182" t="s">
        <v>1130</v>
      </c>
      <c r="H182" s="14"/>
    </row>
    <row r="183" spans="1:8" x14ac:dyDescent="0.25">
      <c r="A183" t="s">
        <v>1131</v>
      </c>
      <c r="H183" s="14"/>
    </row>
    <row r="184" spans="1:8" x14ac:dyDescent="0.25">
      <c r="A184" t="s">
        <v>1132</v>
      </c>
      <c r="H184" s="14"/>
    </row>
    <row r="185" spans="1:8" x14ac:dyDescent="0.25">
      <c r="A185" t="s">
        <v>81</v>
      </c>
      <c r="H185" s="14"/>
    </row>
    <row r="186" spans="1:8" x14ac:dyDescent="0.25">
      <c r="A186" t="s">
        <v>1133</v>
      </c>
      <c r="H186" s="14"/>
    </row>
    <row r="187" spans="1:8" x14ac:dyDescent="0.25">
      <c r="A187" t="s">
        <v>1134</v>
      </c>
      <c r="H187" s="14"/>
    </row>
    <row r="188" spans="1:8" x14ac:dyDescent="0.25">
      <c r="A188" t="s">
        <v>82</v>
      </c>
      <c r="H188" s="14"/>
    </row>
    <row r="189" spans="1:8" x14ac:dyDescent="0.25">
      <c r="A189" t="s">
        <v>1135</v>
      </c>
      <c r="H189" s="14"/>
    </row>
    <row r="190" spans="1:8" x14ac:dyDescent="0.25">
      <c r="A190" t="s">
        <v>1136</v>
      </c>
      <c r="H190" s="14"/>
    </row>
    <row r="191" spans="1:8" x14ac:dyDescent="0.25">
      <c r="A191" t="s">
        <v>83</v>
      </c>
      <c r="H191" s="14"/>
    </row>
    <row r="192" spans="1:8" x14ac:dyDescent="0.25">
      <c r="A192" t="s">
        <v>84</v>
      </c>
      <c r="H192" s="14"/>
    </row>
    <row r="193" spans="1:8" x14ac:dyDescent="0.25">
      <c r="A193" t="s">
        <v>1137</v>
      </c>
      <c r="H193" s="14"/>
    </row>
    <row r="194" spans="1:8" x14ac:dyDescent="0.25">
      <c r="A194" t="s">
        <v>85</v>
      </c>
      <c r="H194" s="14"/>
    </row>
    <row r="195" spans="1:8" x14ac:dyDescent="0.25">
      <c r="A195" t="s">
        <v>1138</v>
      </c>
      <c r="H195" s="14"/>
    </row>
    <row r="196" spans="1:8" x14ac:dyDescent="0.25">
      <c r="A196" t="s">
        <v>1139</v>
      </c>
      <c r="H196" s="14"/>
    </row>
    <row r="197" spans="1:8" x14ac:dyDescent="0.25">
      <c r="A197" t="s">
        <v>1140</v>
      </c>
      <c r="H197" s="14"/>
    </row>
    <row r="198" spans="1:8" x14ac:dyDescent="0.25">
      <c r="A198" t="s">
        <v>86</v>
      </c>
      <c r="H198" s="14"/>
    </row>
    <row r="199" spans="1:8" x14ac:dyDescent="0.25">
      <c r="A199" t="s">
        <v>87</v>
      </c>
      <c r="H199" s="14"/>
    </row>
    <row r="200" spans="1:8" x14ac:dyDescent="0.25">
      <c r="A200" t="s">
        <v>4</v>
      </c>
      <c r="H200" s="14"/>
    </row>
    <row r="201" spans="1:8" x14ac:dyDescent="0.25">
      <c r="A201" t="s">
        <v>5</v>
      </c>
      <c r="H201" s="14"/>
    </row>
    <row r="202" spans="1:8" x14ac:dyDescent="0.25">
      <c r="A202" t="s">
        <v>88</v>
      </c>
      <c r="H202" s="14"/>
    </row>
    <row r="203" spans="1:8" x14ac:dyDescent="0.25">
      <c r="A203" t="s">
        <v>2025</v>
      </c>
      <c r="H203" s="14"/>
    </row>
    <row r="204" spans="1:8" x14ac:dyDescent="0.25">
      <c r="A204" t="s">
        <v>89</v>
      </c>
      <c r="H204" s="14"/>
    </row>
    <row r="205" spans="1:8" x14ac:dyDescent="0.25">
      <c r="A205" t="s">
        <v>1141</v>
      </c>
      <c r="H205" s="14"/>
    </row>
    <row r="206" spans="1:8" x14ac:dyDescent="0.25">
      <c r="A206" t="s">
        <v>1142</v>
      </c>
      <c r="H206" s="14"/>
    </row>
    <row r="207" spans="1:8" x14ac:dyDescent="0.25">
      <c r="A207" t="s">
        <v>90</v>
      </c>
      <c r="H207" s="14"/>
    </row>
    <row r="208" spans="1:8" x14ac:dyDescent="0.25">
      <c r="A208" t="s">
        <v>1143</v>
      </c>
      <c r="H208" s="14"/>
    </row>
    <row r="209" spans="1:8" x14ac:dyDescent="0.25">
      <c r="A209" t="s">
        <v>1144</v>
      </c>
      <c r="H209" s="14"/>
    </row>
    <row r="210" spans="1:8" x14ac:dyDescent="0.25">
      <c r="A210" t="s">
        <v>1145</v>
      </c>
      <c r="H210" s="14"/>
    </row>
    <row r="211" spans="1:8" x14ac:dyDescent="0.25">
      <c r="A211" t="s">
        <v>91</v>
      </c>
      <c r="H211" s="14"/>
    </row>
    <row r="212" spans="1:8" x14ac:dyDescent="0.25">
      <c r="A212" t="s">
        <v>1146</v>
      </c>
      <c r="H212" s="14"/>
    </row>
    <row r="213" spans="1:8" x14ac:dyDescent="0.25">
      <c r="A213" t="s">
        <v>92</v>
      </c>
      <c r="H213" s="14"/>
    </row>
    <row r="214" spans="1:8" x14ac:dyDescent="0.25">
      <c r="A214" t="s">
        <v>1147</v>
      </c>
      <c r="H214" s="14"/>
    </row>
    <row r="215" spans="1:8" x14ac:dyDescent="0.25">
      <c r="A215" t="s">
        <v>93</v>
      </c>
      <c r="H215" s="14"/>
    </row>
    <row r="216" spans="1:8" x14ac:dyDescent="0.25">
      <c r="A216" t="s">
        <v>94</v>
      </c>
      <c r="H216" s="14"/>
    </row>
    <row r="217" spans="1:8" x14ac:dyDescent="0.25">
      <c r="A217" t="s">
        <v>95</v>
      </c>
      <c r="H217" s="14"/>
    </row>
    <row r="218" spans="1:8" x14ac:dyDescent="0.25">
      <c r="A218" t="s">
        <v>96</v>
      </c>
      <c r="H218" s="14"/>
    </row>
    <row r="219" spans="1:8" x14ac:dyDescent="0.25">
      <c r="A219" t="s">
        <v>97</v>
      </c>
      <c r="H219" s="14"/>
    </row>
    <row r="220" spans="1:8" x14ac:dyDescent="0.25">
      <c r="A220" t="s">
        <v>98</v>
      </c>
      <c r="H220" s="14"/>
    </row>
    <row r="221" spans="1:8" x14ac:dyDescent="0.25">
      <c r="A221" t="s">
        <v>1148</v>
      </c>
      <c r="H221" s="14"/>
    </row>
    <row r="222" spans="1:8" x14ac:dyDescent="0.25">
      <c r="A222" t="s">
        <v>99</v>
      </c>
      <c r="H222" s="14"/>
    </row>
    <row r="223" spans="1:8" x14ac:dyDescent="0.25">
      <c r="A223" t="s">
        <v>1149</v>
      </c>
      <c r="H223" s="14"/>
    </row>
    <row r="224" spans="1:8" x14ac:dyDescent="0.25">
      <c r="A224" t="s">
        <v>100</v>
      </c>
      <c r="H224" s="14"/>
    </row>
    <row r="225" spans="1:8" x14ac:dyDescent="0.25">
      <c r="A225" t="s">
        <v>101</v>
      </c>
      <c r="H225" s="14"/>
    </row>
    <row r="226" spans="1:8" x14ac:dyDescent="0.25">
      <c r="A226" t="s">
        <v>1150</v>
      </c>
      <c r="H226" s="14"/>
    </row>
    <row r="227" spans="1:8" x14ac:dyDescent="0.25">
      <c r="A227" t="s">
        <v>1151</v>
      </c>
      <c r="H227" s="14"/>
    </row>
    <row r="228" spans="1:8" x14ac:dyDescent="0.25">
      <c r="A228" t="s">
        <v>102</v>
      </c>
      <c r="H228" s="14"/>
    </row>
    <row r="229" spans="1:8" x14ac:dyDescent="0.25">
      <c r="A229" t="s">
        <v>1152</v>
      </c>
      <c r="H229" s="14"/>
    </row>
    <row r="230" spans="1:8" x14ac:dyDescent="0.25">
      <c r="A230" t="s">
        <v>1153</v>
      </c>
      <c r="H230" s="14"/>
    </row>
    <row r="231" spans="1:8" x14ac:dyDescent="0.25">
      <c r="A231" t="s">
        <v>1154</v>
      </c>
      <c r="H231" s="14"/>
    </row>
    <row r="232" spans="1:8" x14ac:dyDescent="0.25">
      <c r="A232" t="s">
        <v>103</v>
      </c>
      <c r="H232" s="14"/>
    </row>
    <row r="233" spans="1:8" x14ac:dyDescent="0.25">
      <c r="A233" t="s">
        <v>1155</v>
      </c>
      <c r="H233" s="14"/>
    </row>
    <row r="234" spans="1:8" x14ac:dyDescent="0.25">
      <c r="A234" t="s">
        <v>104</v>
      </c>
      <c r="H234" s="14"/>
    </row>
    <row r="235" spans="1:8" x14ac:dyDescent="0.25">
      <c r="A235" t="s">
        <v>1156</v>
      </c>
      <c r="H235" s="14"/>
    </row>
    <row r="236" spans="1:8" x14ac:dyDescent="0.25">
      <c r="A236" t="s">
        <v>105</v>
      </c>
      <c r="H236" s="14"/>
    </row>
    <row r="237" spans="1:8" x14ac:dyDescent="0.25">
      <c r="A237" t="s">
        <v>1157</v>
      </c>
      <c r="H237" s="14"/>
    </row>
    <row r="238" spans="1:8" x14ac:dyDescent="0.25">
      <c r="A238" t="s">
        <v>106</v>
      </c>
      <c r="H238" s="14"/>
    </row>
    <row r="239" spans="1:8" x14ac:dyDescent="0.25">
      <c r="A239" t="s">
        <v>107</v>
      </c>
      <c r="H239" s="14"/>
    </row>
    <row r="240" spans="1:8" x14ac:dyDescent="0.25">
      <c r="A240" t="s">
        <v>108</v>
      </c>
      <c r="H240" s="14"/>
    </row>
    <row r="241" spans="1:8" x14ac:dyDescent="0.25">
      <c r="A241" t="s">
        <v>1158</v>
      </c>
      <c r="H241" s="14"/>
    </row>
    <row r="242" spans="1:8" x14ac:dyDescent="0.25">
      <c r="A242" t="s">
        <v>1159</v>
      </c>
      <c r="H242" s="14"/>
    </row>
    <row r="243" spans="1:8" x14ac:dyDescent="0.25">
      <c r="A243" t="s">
        <v>1160</v>
      </c>
      <c r="H243" s="14"/>
    </row>
    <row r="244" spans="1:8" x14ac:dyDescent="0.25">
      <c r="A244" t="s">
        <v>109</v>
      </c>
      <c r="H244" s="14"/>
    </row>
    <row r="245" spans="1:8" x14ac:dyDescent="0.25">
      <c r="A245" t="s">
        <v>1161</v>
      </c>
      <c r="H245" s="14"/>
    </row>
    <row r="246" spans="1:8" x14ac:dyDescent="0.25">
      <c r="A246" t="s">
        <v>1162</v>
      </c>
      <c r="H246" s="14"/>
    </row>
    <row r="247" spans="1:8" x14ac:dyDescent="0.25">
      <c r="A247" t="s">
        <v>110</v>
      </c>
      <c r="H247" s="14"/>
    </row>
    <row r="248" spans="1:8" x14ac:dyDescent="0.25">
      <c r="A248" t="s">
        <v>1163</v>
      </c>
      <c r="H248" s="14"/>
    </row>
    <row r="249" spans="1:8" x14ac:dyDescent="0.25">
      <c r="A249" t="s">
        <v>1164</v>
      </c>
      <c r="H249" s="14"/>
    </row>
    <row r="250" spans="1:8" x14ac:dyDescent="0.25">
      <c r="A250" t="s">
        <v>111</v>
      </c>
      <c r="H250" s="14"/>
    </row>
    <row r="251" spans="1:8" x14ac:dyDescent="0.25">
      <c r="A251" t="s">
        <v>112</v>
      </c>
      <c r="H251" s="14"/>
    </row>
    <row r="252" spans="1:8" x14ac:dyDescent="0.25">
      <c r="A252" t="s">
        <v>1165</v>
      </c>
      <c r="H252" s="14"/>
    </row>
    <row r="253" spans="1:8" x14ac:dyDescent="0.25">
      <c r="A253" t="s">
        <v>113</v>
      </c>
      <c r="H253" s="14"/>
    </row>
    <row r="254" spans="1:8" x14ac:dyDescent="0.25">
      <c r="A254" t="s">
        <v>1166</v>
      </c>
      <c r="H254" s="14"/>
    </row>
    <row r="255" spans="1:8" x14ac:dyDescent="0.25">
      <c r="A255" t="s">
        <v>1167</v>
      </c>
      <c r="H255" s="14"/>
    </row>
    <row r="256" spans="1:8" x14ac:dyDescent="0.25">
      <c r="A256" t="s">
        <v>1168</v>
      </c>
      <c r="H256" s="14"/>
    </row>
    <row r="257" spans="1:8" x14ac:dyDescent="0.25">
      <c r="A257" t="s">
        <v>114</v>
      </c>
      <c r="H257" s="14"/>
    </row>
    <row r="258" spans="1:8" x14ac:dyDescent="0.25">
      <c r="A258" t="s">
        <v>115</v>
      </c>
      <c r="H258" s="14"/>
    </row>
    <row r="259" spans="1:8" x14ac:dyDescent="0.25">
      <c r="A259" t="s">
        <v>116</v>
      </c>
      <c r="H259" s="14"/>
    </row>
    <row r="260" spans="1:8" x14ac:dyDescent="0.25">
      <c r="A260" t="s">
        <v>6</v>
      </c>
      <c r="H260" s="14"/>
    </row>
    <row r="261" spans="1:8" x14ac:dyDescent="0.25">
      <c r="A261" t="s">
        <v>7</v>
      </c>
      <c r="H261" s="14"/>
    </row>
    <row r="262" spans="1:8" x14ac:dyDescent="0.25">
      <c r="A262" t="s">
        <v>8</v>
      </c>
      <c r="H262" s="14"/>
    </row>
    <row r="263" spans="1:8" x14ac:dyDescent="0.25">
      <c r="A263" t="s">
        <v>9</v>
      </c>
      <c r="H263" s="14"/>
    </row>
    <row r="264" spans="1:8" x14ac:dyDescent="0.25">
      <c r="A264" t="s">
        <v>2066</v>
      </c>
      <c r="H264" s="14"/>
    </row>
    <row r="265" spans="1:8" x14ac:dyDescent="0.25">
      <c r="A265" t="s">
        <v>1169</v>
      </c>
      <c r="H265" s="14"/>
    </row>
    <row r="266" spans="1:8" x14ac:dyDescent="0.25">
      <c r="A266" t="s">
        <v>1170</v>
      </c>
      <c r="H266" s="14"/>
    </row>
    <row r="267" spans="1:8" x14ac:dyDescent="0.25">
      <c r="A267" t="s">
        <v>2067</v>
      </c>
      <c r="H267" s="14"/>
    </row>
    <row r="268" spans="1:8" x14ac:dyDescent="0.25">
      <c r="A268" t="s">
        <v>2068</v>
      </c>
      <c r="H268" s="14"/>
    </row>
    <row r="269" spans="1:8" x14ac:dyDescent="0.25">
      <c r="A269" t="s">
        <v>2069</v>
      </c>
      <c r="H269" s="14"/>
    </row>
    <row r="270" spans="1:8" x14ac:dyDescent="0.25">
      <c r="A270" t="s">
        <v>1171</v>
      </c>
      <c r="H270" s="14"/>
    </row>
    <row r="271" spans="1:8" x14ac:dyDescent="0.25">
      <c r="A271" t="s">
        <v>2070</v>
      </c>
      <c r="H271" s="14"/>
    </row>
    <row r="272" spans="1:8" x14ac:dyDescent="0.25">
      <c r="A272" t="s">
        <v>2071</v>
      </c>
      <c r="H272" s="14"/>
    </row>
    <row r="273" spans="1:8" x14ac:dyDescent="0.25">
      <c r="A273" t="s">
        <v>1172</v>
      </c>
      <c r="H273" s="14"/>
    </row>
    <row r="274" spans="1:8" x14ac:dyDescent="0.25">
      <c r="A274" t="s">
        <v>2072</v>
      </c>
      <c r="H274" s="14"/>
    </row>
    <row r="275" spans="1:8" x14ac:dyDescent="0.25">
      <c r="A275" t="s">
        <v>1173</v>
      </c>
      <c r="H275" s="14"/>
    </row>
    <row r="276" spans="1:8" x14ac:dyDescent="0.25">
      <c r="A276" t="s">
        <v>2073</v>
      </c>
      <c r="H276" s="14"/>
    </row>
    <row r="277" spans="1:8" x14ac:dyDescent="0.25">
      <c r="A277" t="s">
        <v>2074</v>
      </c>
      <c r="H277" s="14"/>
    </row>
    <row r="278" spans="1:8" x14ac:dyDescent="0.25">
      <c r="A278" t="s">
        <v>2075</v>
      </c>
      <c r="H278" s="14"/>
    </row>
    <row r="279" spans="1:8" x14ac:dyDescent="0.25">
      <c r="A279" t="s">
        <v>2076</v>
      </c>
      <c r="H279" s="14"/>
    </row>
    <row r="280" spans="1:8" x14ac:dyDescent="0.25">
      <c r="A280" t="s">
        <v>2077</v>
      </c>
      <c r="H280" s="14"/>
    </row>
    <row r="281" spans="1:8" x14ac:dyDescent="0.25">
      <c r="A281" t="s">
        <v>1039</v>
      </c>
      <c r="H281" s="14"/>
    </row>
    <row r="282" spans="1:8" x14ac:dyDescent="0.25">
      <c r="A282" t="s">
        <v>1040</v>
      </c>
      <c r="H282" s="14"/>
    </row>
    <row r="283" spans="1:8" x14ac:dyDescent="0.25">
      <c r="A283" t="s">
        <v>1041</v>
      </c>
      <c r="H283" s="14"/>
    </row>
    <row r="284" spans="1:8" x14ac:dyDescent="0.25">
      <c r="A284" t="s">
        <v>1042</v>
      </c>
      <c r="H284" s="14"/>
    </row>
    <row r="285" spans="1:8" x14ac:dyDescent="0.25">
      <c r="A285" t="s">
        <v>1043</v>
      </c>
      <c r="H285" s="14"/>
    </row>
    <row r="286" spans="1:8" x14ac:dyDescent="0.25">
      <c r="A286" t="s">
        <v>1044</v>
      </c>
      <c r="H286" s="14"/>
    </row>
    <row r="287" spans="1:8" x14ac:dyDescent="0.25">
      <c r="A287" t="s">
        <v>1045</v>
      </c>
      <c r="H287" s="14"/>
    </row>
    <row r="288" spans="1:8" x14ac:dyDescent="0.25">
      <c r="A288" t="s">
        <v>1046</v>
      </c>
      <c r="H288" s="14"/>
    </row>
    <row r="289" spans="1:8" x14ac:dyDescent="0.25">
      <c r="A289" t="s">
        <v>1047</v>
      </c>
      <c r="H289" s="14"/>
    </row>
    <row r="290" spans="1:8" x14ac:dyDescent="0.25">
      <c r="A290" t="s">
        <v>2078</v>
      </c>
      <c r="H290" s="14"/>
    </row>
    <row r="291" spans="1:8" x14ac:dyDescent="0.25">
      <c r="A291" t="s">
        <v>1174</v>
      </c>
      <c r="H291" s="14"/>
    </row>
    <row r="292" spans="1:8" x14ac:dyDescent="0.25">
      <c r="A292" t="s">
        <v>1175</v>
      </c>
      <c r="H292" s="14"/>
    </row>
    <row r="293" spans="1:8" x14ac:dyDescent="0.25">
      <c r="A293" t="s">
        <v>2079</v>
      </c>
      <c r="H293" s="14"/>
    </row>
    <row r="294" spans="1:8" x14ac:dyDescent="0.25">
      <c r="A294" t="s">
        <v>2080</v>
      </c>
      <c r="H294" s="14"/>
    </row>
    <row r="295" spans="1:8" x14ac:dyDescent="0.25">
      <c r="A295" t="s">
        <v>2081</v>
      </c>
      <c r="H295" s="14"/>
    </row>
    <row r="296" spans="1:8" x14ac:dyDescent="0.25">
      <c r="A296" t="s">
        <v>1176</v>
      </c>
      <c r="H296" s="14"/>
    </row>
    <row r="297" spans="1:8" x14ac:dyDescent="0.25">
      <c r="A297" t="s">
        <v>2082</v>
      </c>
      <c r="H297" s="14"/>
    </row>
    <row r="298" spans="1:8" x14ac:dyDescent="0.25">
      <c r="A298" t="s">
        <v>2083</v>
      </c>
      <c r="H298" s="14"/>
    </row>
    <row r="299" spans="1:8" x14ac:dyDescent="0.25">
      <c r="A299" t="s">
        <v>1177</v>
      </c>
      <c r="H299" s="14"/>
    </row>
    <row r="300" spans="1:8" x14ac:dyDescent="0.25">
      <c r="A300" t="s">
        <v>2084</v>
      </c>
      <c r="H300" s="14"/>
    </row>
    <row r="301" spans="1:8" x14ac:dyDescent="0.25">
      <c r="A301" t="s">
        <v>1178</v>
      </c>
      <c r="H301" s="14"/>
    </row>
    <row r="302" spans="1:8" x14ac:dyDescent="0.25">
      <c r="A302" t="s">
        <v>2085</v>
      </c>
      <c r="H302" s="14"/>
    </row>
    <row r="303" spans="1:8" x14ac:dyDescent="0.25">
      <c r="A303" t="s">
        <v>2086</v>
      </c>
      <c r="H303" s="14"/>
    </row>
    <row r="304" spans="1:8" x14ac:dyDescent="0.25">
      <c r="A304" t="s">
        <v>2087</v>
      </c>
      <c r="H304" s="14"/>
    </row>
    <row r="305" spans="1:8" x14ac:dyDescent="0.25">
      <c r="A305" t="s">
        <v>2088</v>
      </c>
      <c r="H305" s="14"/>
    </row>
    <row r="306" spans="1:8" x14ac:dyDescent="0.25">
      <c r="A306" t="s">
        <v>2089</v>
      </c>
      <c r="H306" s="14"/>
    </row>
    <row r="307" spans="1:8" x14ac:dyDescent="0.25">
      <c r="A307" t="s">
        <v>1048</v>
      </c>
      <c r="H307" s="14"/>
    </row>
    <row r="308" spans="1:8" x14ac:dyDescent="0.25">
      <c r="A308" t="s">
        <v>1049</v>
      </c>
      <c r="H308" s="14"/>
    </row>
    <row r="309" spans="1:8" x14ac:dyDescent="0.25">
      <c r="A309" t="s">
        <v>1050</v>
      </c>
      <c r="H309" s="14"/>
    </row>
    <row r="310" spans="1:8" x14ac:dyDescent="0.25">
      <c r="A310" t="s">
        <v>1051</v>
      </c>
      <c r="H310" s="14"/>
    </row>
    <row r="311" spans="1:8" x14ac:dyDescent="0.25">
      <c r="A311" t="s">
        <v>1052</v>
      </c>
      <c r="H311" s="14"/>
    </row>
    <row r="312" spans="1:8" x14ac:dyDescent="0.25">
      <c r="A312" t="s">
        <v>1053</v>
      </c>
      <c r="H312" s="14"/>
    </row>
    <row r="313" spans="1:8" x14ac:dyDescent="0.25">
      <c r="A313" t="s">
        <v>1054</v>
      </c>
      <c r="H313" s="14"/>
    </row>
    <row r="314" spans="1:8" x14ac:dyDescent="0.25">
      <c r="A314" t="s">
        <v>1055</v>
      </c>
      <c r="H314" s="14"/>
    </row>
    <row r="315" spans="1:8" x14ac:dyDescent="0.25">
      <c r="A315" t="s">
        <v>1056</v>
      </c>
      <c r="H315" s="14"/>
    </row>
    <row r="316" spans="1:8" x14ac:dyDescent="0.25">
      <c r="A316" t="s">
        <v>10</v>
      </c>
      <c r="H316" s="14"/>
    </row>
    <row r="317" spans="1:8" x14ac:dyDescent="0.25">
      <c r="A317" t="s">
        <v>11</v>
      </c>
      <c r="H317" s="14"/>
    </row>
    <row r="318" spans="1:8" x14ac:dyDescent="0.25">
      <c r="A318" t="s">
        <v>12</v>
      </c>
      <c r="H318" s="14"/>
    </row>
    <row r="319" spans="1:8" x14ac:dyDescent="0.25">
      <c r="A319" t="s">
        <v>1179</v>
      </c>
      <c r="H319" s="14"/>
    </row>
    <row r="320" spans="1:8" x14ac:dyDescent="0.25">
      <c r="A320" t="s">
        <v>1180</v>
      </c>
      <c r="H320" s="14"/>
    </row>
    <row r="321" spans="1:8" x14ac:dyDescent="0.25">
      <c r="A321" t="s">
        <v>1181</v>
      </c>
      <c r="H321" s="14"/>
    </row>
    <row r="322" spans="1:8" x14ac:dyDescent="0.25">
      <c r="A322" t="s">
        <v>2055</v>
      </c>
      <c r="H322" s="14"/>
    </row>
    <row r="323" spans="1:8" x14ac:dyDescent="0.25">
      <c r="A323" t="s">
        <v>1182</v>
      </c>
      <c r="H323" s="14"/>
    </row>
    <row r="324" spans="1:8" x14ac:dyDescent="0.25">
      <c r="A324" t="s">
        <v>1183</v>
      </c>
      <c r="H324" s="14"/>
    </row>
    <row r="325" spans="1:8" x14ac:dyDescent="0.25">
      <c r="A325" t="s">
        <v>2090</v>
      </c>
      <c r="H325" s="14"/>
    </row>
    <row r="326" spans="1:8" x14ac:dyDescent="0.25">
      <c r="A326" t="s">
        <v>1184</v>
      </c>
      <c r="H326" s="14"/>
    </row>
    <row r="327" spans="1:8" x14ac:dyDescent="0.25">
      <c r="A327" t="s">
        <v>2091</v>
      </c>
      <c r="H327" s="14"/>
    </row>
    <row r="328" spans="1:8" x14ac:dyDescent="0.25">
      <c r="A328" t="s">
        <v>1185</v>
      </c>
      <c r="H328" s="14"/>
    </row>
    <row r="329" spans="1:8" x14ac:dyDescent="0.25">
      <c r="A329" t="s">
        <v>2092</v>
      </c>
      <c r="H329" s="14"/>
    </row>
    <row r="330" spans="1:8" x14ac:dyDescent="0.25">
      <c r="A330" t="s">
        <v>1186</v>
      </c>
      <c r="H330" s="14"/>
    </row>
    <row r="331" spans="1:8" x14ac:dyDescent="0.25">
      <c r="A331" t="s">
        <v>1187</v>
      </c>
      <c r="H331" s="14"/>
    </row>
    <row r="332" spans="1:8" x14ac:dyDescent="0.25">
      <c r="A332" t="s">
        <v>1188</v>
      </c>
      <c r="H332" s="14"/>
    </row>
    <row r="333" spans="1:8" x14ac:dyDescent="0.25">
      <c r="A333" t="s">
        <v>1189</v>
      </c>
      <c r="H333" s="14"/>
    </row>
    <row r="334" spans="1:8" x14ac:dyDescent="0.25">
      <c r="A334" t="s">
        <v>2093</v>
      </c>
      <c r="H334" s="14"/>
    </row>
    <row r="335" spans="1:8" x14ac:dyDescent="0.25">
      <c r="A335" t="s">
        <v>1190</v>
      </c>
      <c r="H335" s="14"/>
    </row>
    <row r="336" spans="1:8" x14ac:dyDescent="0.25">
      <c r="A336" t="s">
        <v>1191</v>
      </c>
      <c r="H336" s="14"/>
    </row>
    <row r="337" spans="1:8" x14ac:dyDescent="0.25">
      <c r="A337" t="s">
        <v>1192</v>
      </c>
      <c r="H337" s="14"/>
    </row>
    <row r="338" spans="1:8" x14ac:dyDescent="0.25">
      <c r="A338" t="s">
        <v>2062</v>
      </c>
      <c r="H338" s="14"/>
    </row>
    <row r="339" spans="1:8" x14ac:dyDescent="0.25">
      <c r="A339" t="s">
        <v>2094</v>
      </c>
      <c r="H339" s="14"/>
    </row>
    <row r="340" spans="1:8" x14ac:dyDescent="0.25">
      <c r="A340" t="s">
        <v>2063</v>
      </c>
      <c r="H340" s="14"/>
    </row>
    <row r="341" spans="1:8" x14ac:dyDescent="0.25">
      <c r="A341" t="s">
        <v>1193</v>
      </c>
      <c r="H341" s="14"/>
    </row>
    <row r="342" spans="1:8" x14ac:dyDescent="0.25">
      <c r="A342" t="s">
        <v>2064</v>
      </c>
      <c r="H342" s="14"/>
    </row>
    <row r="343" spans="1:8" x14ac:dyDescent="0.25">
      <c r="A343" t="s">
        <v>1194</v>
      </c>
      <c r="H343" s="14"/>
    </row>
    <row r="344" spans="1:8" x14ac:dyDescent="0.25">
      <c r="A344" t="s">
        <v>2065</v>
      </c>
      <c r="H344" s="14"/>
    </row>
    <row r="345" spans="1:8" x14ac:dyDescent="0.25">
      <c r="A345" t="s">
        <v>2056</v>
      </c>
      <c r="H345" s="14"/>
    </row>
    <row r="346" spans="1:8" x14ac:dyDescent="0.25">
      <c r="A346" t="s">
        <v>2095</v>
      </c>
      <c r="H346" s="14"/>
    </row>
    <row r="347" spans="1:8" x14ac:dyDescent="0.25">
      <c r="A347" t="s">
        <v>13</v>
      </c>
      <c r="H347" s="14"/>
    </row>
    <row r="348" spans="1:8" x14ac:dyDescent="0.25">
      <c r="A348" t="s">
        <v>14</v>
      </c>
      <c r="H348" s="14"/>
    </row>
    <row r="349" spans="1:8" x14ac:dyDescent="0.25">
      <c r="A349" t="s">
        <v>15</v>
      </c>
      <c r="H349" s="14"/>
    </row>
    <row r="350" spans="1:8" x14ac:dyDescent="0.25">
      <c r="A350" t="s">
        <v>16</v>
      </c>
      <c r="H350" s="14"/>
    </row>
    <row r="351" spans="1:8" x14ac:dyDescent="0.25">
      <c r="A351" t="s">
        <v>17</v>
      </c>
      <c r="H351" s="14"/>
    </row>
    <row r="352" spans="1:8" x14ac:dyDescent="0.25">
      <c r="A352" t="s">
        <v>18</v>
      </c>
      <c r="H352" s="14"/>
    </row>
    <row r="353" spans="1:8" x14ac:dyDescent="0.25">
      <c r="A353" t="s">
        <v>117</v>
      </c>
      <c r="H353" s="14"/>
    </row>
    <row r="354" spans="1:8" x14ac:dyDescent="0.25">
      <c r="A354" t="s">
        <v>118</v>
      </c>
      <c r="H354" s="14"/>
    </row>
    <row r="355" spans="1:8" x14ac:dyDescent="0.25">
      <c r="A355" t="s">
        <v>119</v>
      </c>
      <c r="H355" s="14"/>
    </row>
    <row r="356" spans="1:8" x14ac:dyDescent="0.25">
      <c r="A356" t="s">
        <v>120</v>
      </c>
      <c r="H356" s="14"/>
    </row>
    <row r="357" spans="1:8" x14ac:dyDescent="0.25">
      <c r="A357" t="s">
        <v>121</v>
      </c>
      <c r="H357" s="14"/>
    </row>
    <row r="358" spans="1:8" x14ac:dyDescent="0.25">
      <c r="A358" t="s">
        <v>122</v>
      </c>
      <c r="H358" s="14"/>
    </row>
    <row r="359" spans="1:8" x14ac:dyDescent="0.25">
      <c r="A359" t="s">
        <v>2057</v>
      </c>
      <c r="H359" s="14"/>
    </row>
    <row r="360" spans="1:8" x14ac:dyDescent="0.25">
      <c r="A360" t="s">
        <v>2058</v>
      </c>
      <c r="H360" s="14"/>
    </row>
    <row r="361" spans="1:8" x14ac:dyDescent="0.25">
      <c r="A361" t="s">
        <v>2059</v>
      </c>
      <c r="H361" s="14"/>
    </row>
    <row r="362" spans="1:8" x14ac:dyDescent="0.25">
      <c r="A362" t="s">
        <v>1195</v>
      </c>
      <c r="H362" s="14"/>
    </row>
    <row r="363" spans="1:8" x14ac:dyDescent="0.25">
      <c r="A363" t="s">
        <v>2096</v>
      </c>
      <c r="H363" s="14"/>
    </row>
    <row r="364" spans="1:8" x14ac:dyDescent="0.25">
      <c r="A364" t="s">
        <v>1196</v>
      </c>
      <c r="H364" s="14"/>
    </row>
    <row r="365" spans="1:8" x14ac:dyDescent="0.25">
      <c r="A365" t="s">
        <v>1197</v>
      </c>
      <c r="H365" s="14"/>
    </row>
    <row r="366" spans="1:8" x14ac:dyDescent="0.25">
      <c r="A366" t="s">
        <v>2097</v>
      </c>
      <c r="H366" s="14"/>
    </row>
    <row r="367" spans="1:8" x14ac:dyDescent="0.25">
      <c r="A367" t="s">
        <v>2098</v>
      </c>
      <c r="H367" s="14"/>
    </row>
    <row r="368" spans="1:8" x14ac:dyDescent="0.25">
      <c r="A368" t="s">
        <v>2060</v>
      </c>
      <c r="H368" s="14"/>
    </row>
    <row r="369" spans="1:8" x14ac:dyDescent="0.25">
      <c r="A369" t="s">
        <v>1198</v>
      </c>
      <c r="H369" s="14"/>
    </row>
    <row r="370" spans="1:8" x14ac:dyDescent="0.25">
      <c r="A370" t="s">
        <v>1199</v>
      </c>
      <c r="H370" s="14"/>
    </row>
    <row r="371" spans="1:8" x14ac:dyDescent="0.25">
      <c r="A371" t="s">
        <v>1200</v>
      </c>
      <c r="H371" s="14"/>
    </row>
    <row r="372" spans="1:8" x14ac:dyDescent="0.25">
      <c r="A372" t="s">
        <v>1201</v>
      </c>
      <c r="H372" s="14"/>
    </row>
    <row r="373" spans="1:8" x14ac:dyDescent="0.25">
      <c r="A373" t="s">
        <v>19</v>
      </c>
      <c r="H373" s="14"/>
    </row>
    <row r="374" spans="1:8" x14ac:dyDescent="0.25">
      <c r="A374" t="s">
        <v>20</v>
      </c>
      <c r="H374" s="14"/>
    </row>
    <row r="375" spans="1:8" x14ac:dyDescent="0.25">
      <c r="A375" t="s">
        <v>2099</v>
      </c>
      <c r="H375" s="14"/>
    </row>
    <row r="376" spans="1:8" x14ac:dyDescent="0.25">
      <c r="A376" t="s">
        <v>2100</v>
      </c>
      <c r="H376" s="14"/>
    </row>
    <row r="377" spans="1:8" x14ac:dyDescent="0.25">
      <c r="A377" t="s">
        <v>2101</v>
      </c>
      <c r="H377" s="14"/>
    </row>
    <row r="378" spans="1:8" x14ac:dyDescent="0.25">
      <c r="A378" t="s">
        <v>2061</v>
      </c>
      <c r="H378" s="14"/>
    </row>
    <row r="379" spans="1:8" x14ac:dyDescent="0.25">
      <c r="A379" t="s">
        <v>1202</v>
      </c>
      <c r="H379" s="14"/>
    </row>
    <row r="380" spans="1:8" x14ac:dyDescent="0.25">
      <c r="A380" t="s">
        <v>1037</v>
      </c>
      <c r="H380" s="14"/>
    </row>
    <row r="381" spans="1:8" x14ac:dyDescent="0.25">
      <c r="A381" t="s">
        <v>1038</v>
      </c>
      <c r="H381" s="14"/>
    </row>
    <row r="382" spans="1:8" x14ac:dyDescent="0.25">
      <c r="A382" t="s">
        <v>21</v>
      </c>
      <c r="H382" s="14"/>
    </row>
    <row r="383" spans="1:8" x14ac:dyDescent="0.25">
      <c r="A383" t="s">
        <v>2102</v>
      </c>
      <c r="H383" s="14"/>
    </row>
    <row r="384" spans="1:8" x14ac:dyDescent="0.25">
      <c r="A384" t="s">
        <v>1203</v>
      </c>
      <c r="H384" s="14"/>
    </row>
    <row r="385" spans="1:8" x14ac:dyDescent="0.25">
      <c r="A385" t="s">
        <v>1204</v>
      </c>
      <c r="H385" s="14"/>
    </row>
    <row r="386" spans="1:8" x14ac:dyDescent="0.25">
      <c r="A386" t="s">
        <v>1205</v>
      </c>
      <c r="H386" s="14"/>
    </row>
    <row r="387" spans="1:8" x14ac:dyDescent="0.25">
      <c r="A387" t="s">
        <v>1206</v>
      </c>
      <c r="H387" s="14"/>
    </row>
    <row r="388" spans="1:8" x14ac:dyDescent="0.25">
      <c r="A388" t="s">
        <v>1207</v>
      </c>
      <c r="H388" s="14"/>
    </row>
    <row r="389" spans="1:8" x14ac:dyDescent="0.25">
      <c r="A389" t="s">
        <v>1208</v>
      </c>
      <c r="H389" s="14"/>
    </row>
    <row r="390" spans="1:8" x14ac:dyDescent="0.25">
      <c r="A390" t="s">
        <v>2103</v>
      </c>
      <c r="H390" s="14"/>
    </row>
    <row r="391" spans="1:8" x14ac:dyDescent="0.25">
      <c r="A391" t="s">
        <v>2104</v>
      </c>
      <c r="H391" s="14"/>
    </row>
    <row r="392" spans="1:8" x14ac:dyDescent="0.25">
      <c r="A392" t="s">
        <v>2105</v>
      </c>
      <c r="H392" s="14"/>
    </row>
    <row r="393" spans="1:8" x14ac:dyDescent="0.25">
      <c r="A393" t="s">
        <v>1209</v>
      </c>
      <c r="H393" s="14"/>
    </row>
    <row r="394" spans="1:8" x14ac:dyDescent="0.25">
      <c r="A394" t="s">
        <v>22</v>
      </c>
      <c r="H394" s="14"/>
    </row>
    <row r="395" spans="1:8" x14ac:dyDescent="0.25">
      <c r="A395" t="s">
        <v>123</v>
      </c>
      <c r="H395" s="14"/>
    </row>
    <row r="396" spans="1:8" x14ac:dyDescent="0.25">
      <c r="A396" t="s">
        <v>2026</v>
      </c>
      <c r="H396" s="14"/>
    </row>
    <row r="397" spans="1:8" x14ac:dyDescent="0.25">
      <c r="A397" t="s">
        <v>124</v>
      </c>
      <c r="H397" s="14"/>
    </row>
    <row r="398" spans="1:8" x14ac:dyDescent="0.25">
      <c r="A398" t="s">
        <v>125</v>
      </c>
      <c r="H398" s="14"/>
    </row>
    <row r="399" spans="1:8" x14ac:dyDescent="0.25">
      <c r="A399" t="s">
        <v>1210</v>
      </c>
      <c r="H399" s="14"/>
    </row>
    <row r="400" spans="1:8" x14ac:dyDescent="0.25">
      <c r="A400" t="s">
        <v>1211</v>
      </c>
      <c r="H400" s="14"/>
    </row>
    <row r="401" spans="1:8" x14ac:dyDescent="0.25">
      <c r="A401" t="s">
        <v>126</v>
      </c>
      <c r="H401" s="14"/>
    </row>
    <row r="402" spans="1:8" x14ac:dyDescent="0.25">
      <c r="A402" t="s">
        <v>1212</v>
      </c>
      <c r="H402" s="14"/>
    </row>
    <row r="403" spans="1:8" x14ac:dyDescent="0.25">
      <c r="A403" t="s">
        <v>1213</v>
      </c>
      <c r="H403" s="14"/>
    </row>
    <row r="404" spans="1:8" x14ac:dyDescent="0.25">
      <c r="A404" t="s">
        <v>1214</v>
      </c>
      <c r="H404" s="14"/>
    </row>
    <row r="405" spans="1:8" x14ac:dyDescent="0.25">
      <c r="A405" t="s">
        <v>127</v>
      </c>
      <c r="H405" s="14"/>
    </row>
    <row r="406" spans="1:8" x14ac:dyDescent="0.25">
      <c r="A406" t="s">
        <v>1215</v>
      </c>
      <c r="H406" s="14"/>
    </row>
    <row r="407" spans="1:8" x14ac:dyDescent="0.25">
      <c r="A407" t="s">
        <v>128</v>
      </c>
      <c r="H407" s="14"/>
    </row>
    <row r="408" spans="1:8" x14ac:dyDescent="0.25">
      <c r="A408" t="s">
        <v>1216</v>
      </c>
      <c r="H408" s="14"/>
    </row>
    <row r="409" spans="1:8" x14ac:dyDescent="0.25">
      <c r="A409" t="s">
        <v>129</v>
      </c>
      <c r="H409" s="14"/>
    </row>
    <row r="410" spans="1:8" x14ac:dyDescent="0.25">
      <c r="A410" t="s">
        <v>130</v>
      </c>
      <c r="H410" s="14"/>
    </row>
    <row r="411" spans="1:8" x14ac:dyDescent="0.25">
      <c r="A411" t="s">
        <v>131</v>
      </c>
      <c r="H411" s="14"/>
    </row>
    <row r="412" spans="1:8" x14ac:dyDescent="0.25">
      <c r="A412" t="s">
        <v>132</v>
      </c>
      <c r="H412" s="14"/>
    </row>
    <row r="413" spans="1:8" x14ac:dyDescent="0.25">
      <c r="A413" t="s">
        <v>133</v>
      </c>
      <c r="H413" s="14"/>
    </row>
    <row r="414" spans="1:8" x14ac:dyDescent="0.25">
      <c r="A414" t="s">
        <v>134</v>
      </c>
      <c r="H414" s="14"/>
    </row>
    <row r="415" spans="1:8" x14ac:dyDescent="0.25">
      <c r="A415" t="s">
        <v>1217</v>
      </c>
      <c r="H415" s="14"/>
    </row>
    <row r="416" spans="1:8" x14ac:dyDescent="0.25">
      <c r="A416" t="s">
        <v>135</v>
      </c>
      <c r="H416" s="14"/>
    </row>
    <row r="417" spans="1:8" x14ac:dyDescent="0.25">
      <c r="A417" t="s">
        <v>1218</v>
      </c>
      <c r="H417" s="14"/>
    </row>
    <row r="418" spans="1:8" x14ac:dyDescent="0.25">
      <c r="A418" t="s">
        <v>136</v>
      </c>
      <c r="H418" s="14"/>
    </row>
    <row r="419" spans="1:8" x14ac:dyDescent="0.25">
      <c r="A419" t="s">
        <v>137</v>
      </c>
      <c r="H419" s="14"/>
    </row>
    <row r="420" spans="1:8" x14ac:dyDescent="0.25">
      <c r="A420" t="s">
        <v>1219</v>
      </c>
      <c r="H420" s="14"/>
    </row>
    <row r="421" spans="1:8" x14ac:dyDescent="0.25">
      <c r="A421" t="s">
        <v>1220</v>
      </c>
      <c r="H421" s="14"/>
    </row>
    <row r="422" spans="1:8" x14ac:dyDescent="0.25">
      <c r="A422" t="s">
        <v>138</v>
      </c>
      <c r="H422" s="14"/>
    </row>
    <row r="423" spans="1:8" x14ac:dyDescent="0.25">
      <c r="A423" t="s">
        <v>1221</v>
      </c>
      <c r="H423" s="14"/>
    </row>
    <row r="424" spans="1:8" x14ac:dyDescent="0.25">
      <c r="A424" t="s">
        <v>1222</v>
      </c>
      <c r="H424" s="14"/>
    </row>
    <row r="425" spans="1:8" x14ac:dyDescent="0.25">
      <c r="A425" t="s">
        <v>1223</v>
      </c>
      <c r="H425" s="14"/>
    </row>
    <row r="426" spans="1:8" x14ac:dyDescent="0.25">
      <c r="A426" t="s">
        <v>139</v>
      </c>
      <c r="H426" s="14"/>
    </row>
    <row r="427" spans="1:8" x14ac:dyDescent="0.25">
      <c r="A427" t="s">
        <v>1224</v>
      </c>
      <c r="H427" s="14"/>
    </row>
    <row r="428" spans="1:8" x14ac:dyDescent="0.25">
      <c r="A428" t="s">
        <v>140</v>
      </c>
      <c r="H428" s="14"/>
    </row>
    <row r="429" spans="1:8" x14ac:dyDescent="0.25">
      <c r="A429" t="s">
        <v>1225</v>
      </c>
      <c r="H429" s="14"/>
    </row>
    <row r="430" spans="1:8" x14ac:dyDescent="0.25">
      <c r="A430" t="s">
        <v>141</v>
      </c>
      <c r="H430" s="14"/>
    </row>
    <row r="431" spans="1:8" x14ac:dyDescent="0.25">
      <c r="A431" t="s">
        <v>1226</v>
      </c>
      <c r="H431" s="14"/>
    </row>
    <row r="432" spans="1:8" x14ac:dyDescent="0.25">
      <c r="A432" t="s">
        <v>142</v>
      </c>
      <c r="H432" s="14"/>
    </row>
    <row r="433" spans="1:8" x14ac:dyDescent="0.25">
      <c r="A433" t="s">
        <v>143</v>
      </c>
      <c r="H433" s="14"/>
    </row>
    <row r="434" spans="1:8" x14ac:dyDescent="0.25">
      <c r="A434" t="s">
        <v>144</v>
      </c>
      <c r="H434" s="14"/>
    </row>
    <row r="435" spans="1:8" x14ac:dyDescent="0.25">
      <c r="A435" t="s">
        <v>1227</v>
      </c>
      <c r="H435" s="14"/>
    </row>
    <row r="436" spans="1:8" x14ac:dyDescent="0.25">
      <c r="A436" t="s">
        <v>1228</v>
      </c>
      <c r="H436" s="14"/>
    </row>
    <row r="437" spans="1:8" x14ac:dyDescent="0.25">
      <c r="A437" t="s">
        <v>1229</v>
      </c>
      <c r="H437" s="14"/>
    </row>
    <row r="438" spans="1:8" x14ac:dyDescent="0.25">
      <c r="A438" t="s">
        <v>145</v>
      </c>
      <c r="H438" s="14"/>
    </row>
    <row r="439" spans="1:8" x14ac:dyDescent="0.25">
      <c r="A439" t="s">
        <v>1230</v>
      </c>
      <c r="H439" s="14"/>
    </row>
    <row r="440" spans="1:8" x14ac:dyDescent="0.25">
      <c r="A440" t="s">
        <v>1231</v>
      </c>
      <c r="H440" s="14"/>
    </row>
    <row r="441" spans="1:8" x14ac:dyDescent="0.25">
      <c r="A441" t="s">
        <v>146</v>
      </c>
      <c r="H441" s="14"/>
    </row>
    <row r="442" spans="1:8" x14ac:dyDescent="0.25">
      <c r="A442" t="s">
        <v>1232</v>
      </c>
      <c r="H442" s="14"/>
    </row>
    <row r="443" spans="1:8" x14ac:dyDescent="0.25">
      <c r="A443" t="s">
        <v>1233</v>
      </c>
      <c r="H443" s="14"/>
    </row>
    <row r="444" spans="1:8" x14ac:dyDescent="0.25">
      <c r="A444" t="s">
        <v>147</v>
      </c>
      <c r="H444" s="14"/>
    </row>
    <row r="445" spans="1:8" x14ac:dyDescent="0.25">
      <c r="A445" t="s">
        <v>148</v>
      </c>
      <c r="H445" s="14"/>
    </row>
    <row r="446" spans="1:8" x14ac:dyDescent="0.25">
      <c r="A446" t="s">
        <v>1234</v>
      </c>
      <c r="H446" s="14"/>
    </row>
    <row r="447" spans="1:8" x14ac:dyDescent="0.25">
      <c r="A447" t="s">
        <v>149</v>
      </c>
      <c r="H447" s="14"/>
    </row>
    <row r="448" spans="1:8" x14ac:dyDescent="0.25">
      <c r="A448" t="s">
        <v>1235</v>
      </c>
      <c r="H448" s="14"/>
    </row>
    <row r="449" spans="1:8" x14ac:dyDescent="0.25">
      <c r="A449" t="s">
        <v>1236</v>
      </c>
      <c r="H449" s="14"/>
    </row>
    <row r="450" spans="1:8" x14ac:dyDescent="0.25">
      <c r="A450" t="s">
        <v>1237</v>
      </c>
      <c r="H450" s="14"/>
    </row>
    <row r="451" spans="1:8" x14ac:dyDescent="0.25">
      <c r="A451" t="s">
        <v>150</v>
      </c>
      <c r="H451" s="14"/>
    </row>
    <row r="452" spans="1:8" x14ac:dyDescent="0.25">
      <c r="A452" t="s">
        <v>151</v>
      </c>
      <c r="H452" s="14"/>
    </row>
    <row r="453" spans="1:8" x14ac:dyDescent="0.25">
      <c r="A453" t="s">
        <v>152</v>
      </c>
      <c r="H453" s="14"/>
    </row>
    <row r="454" spans="1:8" x14ac:dyDescent="0.25">
      <c r="A454" t="s">
        <v>2027</v>
      </c>
      <c r="H454" s="14"/>
    </row>
    <row r="455" spans="1:8" x14ac:dyDescent="0.25">
      <c r="A455" t="s">
        <v>153</v>
      </c>
      <c r="H455" s="14"/>
    </row>
    <row r="456" spans="1:8" x14ac:dyDescent="0.25">
      <c r="A456" t="s">
        <v>154</v>
      </c>
      <c r="H456" s="14"/>
    </row>
    <row r="457" spans="1:8" x14ac:dyDescent="0.25">
      <c r="A457" t="s">
        <v>1238</v>
      </c>
      <c r="H457" s="14"/>
    </row>
    <row r="458" spans="1:8" x14ac:dyDescent="0.25">
      <c r="A458" t="s">
        <v>1239</v>
      </c>
      <c r="H458" s="14"/>
    </row>
    <row r="459" spans="1:8" x14ac:dyDescent="0.25">
      <c r="A459" t="s">
        <v>155</v>
      </c>
      <c r="H459" s="14"/>
    </row>
    <row r="460" spans="1:8" x14ac:dyDescent="0.25">
      <c r="A460" t="s">
        <v>1240</v>
      </c>
      <c r="H460" s="14"/>
    </row>
    <row r="461" spans="1:8" x14ac:dyDescent="0.25">
      <c r="A461" t="s">
        <v>1241</v>
      </c>
      <c r="H461" s="14"/>
    </row>
    <row r="462" spans="1:8" x14ac:dyDescent="0.25">
      <c r="A462" t="s">
        <v>1242</v>
      </c>
      <c r="H462" s="14"/>
    </row>
    <row r="463" spans="1:8" x14ac:dyDescent="0.25">
      <c r="A463" t="s">
        <v>156</v>
      </c>
      <c r="H463" s="14"/>
    </row>
    <row r="464" spans="1:8" x14ac:dyDescent="0.25">
      <c r="A464" t="s">
        <v>1243</v>
      </c>
      <c r="H464" s="14"/>
    </row>
    <row r="465" spans="1:8" x14ac:dyDescent="0.25">
      <c r="A465" t="s">
        <v>157</v>
      </c>
      <c r="H465" s="14"/>
    </row>
    <row r="466" spans="1:8" x14ac:dyDescent="0.25">
      <c r="A466" t="s">
        <v>1244</v>
      </c>
      <c r="H466" s="14"/>
    </row>
    <row r="467" spans="1:8" x14ac:dyDescent="0.25">
      <c r="A467" t="s">
        <v>158</v>
      </c>
      <c r="H467" s="14"/>
    </row>
    <row r="468" spans="1:8" x14ac:dyDescent="0.25">
      <c r="A468" t="s">
        <v>159</v>
      </c>
      <c r="H468" s="14"/>
    </row>
    <row r="469" spans="1:8" x14ac:dyDescent="0.25">
      <c r="A469" t="s">
        <v>160</v>
      </c>
      <c r="H469" s="14"/>
    </row>
    <row r="470" spans="1:8" x14ac:dyDescent="0.25">
      <c r="A470" t="s">
        <v>161</v>
      </c>
      <c r="H470" s="14"/>
    </row>
    <row r="471" spans="1:8" x14ac:dyDescent="0.25">
      <c r="A471" t="s">
        <v>162</v>
      </c>
      <c r="H471" s="14"/>
    </row>
    <row r="472" spans="1:8" x14ac:dyDescent="0.25">
      <c r="A472" t="s">
        <v>163</v>
      </c>
      <c r="H472" s="14"/>
    </row>
    <row r="473" spans="1:8" x14ac:dyDescent="0.25">
      <c r="A473" t="s">
        <v>1245</v>
      </c>
      <c r="H473" s="14"/>
    </row>
    <row r="474" spans="1:8" x14ac:dyDescent="0.25">
      <c r="A474" t="s">
        <v>164</v>
      </c>
      <c r="H474" s="14"/>
    </row>
    <row r="475" spans="1:8" x14ac:dyDescent="0.25">
      <c r="A475" t="s">
        <v>1246</v>
      </c>
      <c r="H475" s="14"/>
    </row>
    <row r="476" spans="1:8" x14ac:dyDescent="0.25">
      <c r="A476" t="s">
        <v>165</v>
      </c>
      <c r="H476" s="14"/>
    </row>
    <row r="477" spans="1:8" x14ac:dyDescent="0.25">
      <c r="A477" t="s">
        <v>166</v>
      </c>
      <c r="H477" s="14"/>
    </row>
    <row r="478" spans="1:8" x14ac:dyDescent="0.25">
      <c r="A478" t="s">
        <v>1247</v>
      </c>
      <c r="H478" s="14"/>
    </row>
    <row r="479" spans="1:8" x14ac:dyDescent="0.25">
      <c r="A479" t="s">
        <v>1248</v>
      </c>
      <c r="H479" s="14"/>
    </row>
    <row r="480" spans="1:8" x14ac:dyDescent="0.25">
      <c r="A480" t="s">
        <v>167</v>
      </c>
      <c r="H480" s="14"/>
    </row>
    <row r="481" spans="1:8" x14ac:dyDescent="0.25">
      <c r="A481" t="s">
        <v>1249</v>
      </c>
      <c r="H481" s="14"/>
    </row>
    <row r="482" spans="1:8" x14ac:dyDescent="0.25">
      <c r="A482" t="s">
        <v>1250</v>
      </c>
      <c r="H482" s="14"/>
    </row>
    <row r="483" spans="1:8" x14ac:dyDescent="0.25">
      <c r="A483" t="s">
        <v>1251</v>
      </c>
      <c r="H483" s="14"/>
    </row>
    <row r="484" spans="1:8" x14ac:dyDescent="0.25">
      <c r="A484" t="s">
        <v>168</v>
      </c>
      <c r="H484" s="14"/>
    </row>
    <row r="485" spans="1:8" x14ac:dyDescent="0.25">
      <c r="A485" t="s">
        <v>1252</v>
      </c>
      <c r="H485" s="14"/>
    </row>
    <row r="486" spans="1:8" x14ac:dyDescent="0.25">
      <c r="A486" t="s">
        <v>169</v>
      </c>
      <c r="H486" s="14"/>
    </row>
    <row r="487" spans="1:8" x14ac:dyDescent="0.25">
      <c r="A487" t="s">
        <v>1253</v>
      </c>
      <c r="H487" s="14"/>
    </row>
    <row r="488" spans="1:8" x14ac:dyDescent="0.25">
      <c r="A488" t="s">
        <v>170</v>
      </c>
      <c r="H488" s="14"/>
    </row>
    <row r="489" spans="1:8" x14ac:dyDescent="0.25">
      <c r="A489" t="s">
        <v>1254</v>
      </c>
      <c r="H489" s="14"/>
    </row>
    <row r="490" spans="1:8" x14ac:dyDescent="0.25">
      <c r="A490" t="s">
        <v>171</v>
      </c>
      <c r="H490" s="14"/>
    </row>
    <row r="491" spans="1:8" x14ac:dyDescent="0.25">
      <c r="A491" t="s">
        <v>172</v>
      </c>
      <c r="H491" s="14"/>
    </row>
    <row r="492" spans="1:8" x14ac:dyDescent="0.25">
      <c r="A492" t="s">
        <v>173</v>
      </c>
      <c r="H492" s="14"/>
    </row>
    <row r="493" spans="1:8" x14ac:dyDescent="0.25">
      <c r="A493" t="s">
        <v>1255</v>
      </c>
      <c r="H493" s="14"/>
    </row>
    <row r="494" spans="1:8" x14ac:dyDescent="0.25">
      <c r="A494" t="s">
        <v>1256</v>
      </c>
      <c r="H494" s="14"/>
    </row>
    <row r="495" spans="1:8" x14ac:dyDescent="0.25">
      <c r="A495" t="s">
        <v>1257</v>
      </c>
      <c r="H495" s="14"/>
    </row>
    <row r="496" spans="1:8" x14ac:dyDescent="0.25">
      <c r="A496" t="s">
        <v>174</v>
      </c>
      <c r="H496" s="14"/>
    </row>
    <row r="497" spans="1:8" x14ac:dyDescent="0.25">
      <c r="A497" t="s">
        <v>1258</v>
      </c>
      <c r="H497" s="14"/>
    </row>
    <row r="498" spans="1:8" x14ac:dyDescent="0.25">
      <c r="A498" t="s">
        <v>1259</v>
      </c>
      <c r="H498" s="14"/>
    </row>
    <row r="499" spans="1:8" x14ac:dyDescent="0.25">
      <c r="A499" t="s">
        <v>175</v>
      </c>
      <c r="H499" s="14"/>
    </row>
    <row r="500" spans="1:8" x14ac:dyDescent="0.25">
      <c r="A500" t="s">
        <v>1260</v>
      </c>
      <c r="H500" s="14"/>
    </row>
    <row r="501" spans="1:8" x14ac:dyDescent="0.25">
      <c r="A501" t="s">
        <v>1261</v>
      </c>
      <c r="H501" s="14"/>
    </row>
    <row r="502" spans="1:8" x14ac:dyDescent="0.25">
      <c r="A502" t="s">
        <v>176</v>
      </c>
      <c r="H502" s="14"/>
    </row>
    <row r="503" spans="1:8" x14ac:dyDescent="0.25">
      <c r="A503" t="s">
        <v>177</v>
      </c>
      <c r="H503" s="14"/>
    </row>
    <row r="504" spans="1:8" x14ac:dyDescent="0.25">
      <c r="A504" t="s">
        <v>1262</v>
      </c>
      <c r="H504" s="14"/>
    </row>
    <row r="505" spans="1:8" x14ac:dyDescent="0.25">
      <c r="A505" t="s">
        <v>178</v>
      </c>
      <c r="H505" s="14"/>
    </row>
    <row r="506" spans="1:8" x14ac:dyDescent="0.25">
      <c r="A506" t="s">
        <v>1263</v>
      </c>
      <c r="H506" s="14"/>
    </row>
    <row r="507" spans="1:8" x14ac:dyDescent="0.25">
      <c r="A507" t="s">
        <v>1264</v>
      </c>
      <c r="H507" s="14"/>
    </row>
    <row r="508" spans="1:8" x14ac:dyDescent="0.25">
      <c r="A508" t="s">
        <v>1265</v>
      </c>
      <c r="H508" s="14"/>
    </row>
    <row r="509" spans="1:8" x14ac:dyDescent="0.25">
      <c r="A509" t="s">
        <v>179</v>
      </c>
      <c r="H509" s="14"/>
    </row>
    <row r="510" spans="1:8" x14ac:dyDescent="0.25">
      <c r="A510" t="s">
        <v>180</v>
      </c>
      <c r="H510" s="14"/>
    </row>
    <row r="511" spans="1:8" x14ac:dyDescent="0.25">
      <c r="A511" t="s">
        <v>181</v>
      </c>
      <c r="H511" s="14"/>
    </row>
    <row r="512" spans="1:8" x14ac:dyDescent="0.25">
      <c r="A512" t="s">
        <v>182</v>
      </c>
      <c r="H512" s="14"/>
    </row>
    <row r="513" spans="1:8" x14ac:dyDescent="0.25">
      <c r="A513" t="s">
        <v>2028</v>
      </c>
      <c r="H513" s="14"/>
    </row>
    <row r="514" spans="1:8" x14ac:dyDescent="0.25">
      <c r="A514" t="s">
        <v>183</v>
      </c>
      <c r="H514" s="14"/>
    </row>
    <row r="515" spans="1:8" x14ac:dyDescent="0.25">
      <c r="A515" t="s">
        <v>184</v>
      </c>
      <c r="H515" s="14"/>
    </row>
    <row r="516" spans="1:8" x14ac:dyDescent="0.25">
      <c r="A516" t="s">
        <v>1266</v>
      </c>
      <c r="H516" s="14"/>
    </row>
    <row r="517" spans="1:8" x14ac:dyDescent="0.25">
      <c r="A517" t="s">
        <v>1267</v>
      </c>
      <c r="H517" s="14"/>
    </row>
    <row r="518" spans="1:8" x14ac:dyDescent="0.25">
      <c r="A518" t="s">
        <v>185</v>
      </c>
      <c r="H518" s="14"/>
    </row>
    <row r="519" spans="1:8" x14ac:dyDescent="0.25">
      <c r="A519" t="s">
        <v>1268</v>
      </c>
      <c r="H519" s="14"/>
    </row>
    <row r="520" spans="1:8" x14ac:dyDescent="0.25">
      <c r="A520" t="s">
        <v>1269</v>
      </c>
      <c r="H520" s="14"/>
    </row>
    <row r="521" spans="1:8" x14ac:dyDescent="0.25">
      <c r="A521" t="s">
        <v>1270</v>
      </c>
      <c r="H521" s="14"/>
    </row>
    <row r="522" spans="1:8" x14ac:dyDescent="0.25">
      <c r="A522" t="s">
        <v>186</v>
      </c>
      <c r="H522" s="14"/>
    </row>
    <row r="523" spans="1:8" x14ac:dyDescent="0.25">
      <c r="A523" t="s">
        <v>1271</v>
      </c>
      <c r="H523" s="14"/>
    </row>
    <row r="524" spans="1:8" x14ac:dyDescent="0.25">
      <c r="A524" t="s">
        <v>187</v>
      </c>
      <c r="H524" s="14"/>
    </row>
    <row r="525" spans="1:8" x14ac:dyDescent="0.25">
      <c r="A525" t="s">
        <v>1272</v>
      </c>
      <c r="H525" s="14"/>
    </row>
    <row r="526" spans="1:8" x14ac:dyDescent="0.25">
      <c r="A526" t="s">
        <v>188</v>
      </c>
      <c r="H526" s="14"/>
    </row>
    <row r="527" spans="1:8" x14ac:dyDescent="0.25">
      <c r="A527" t="s">
        <v>189</v>
      </c>
      <c r="H527" s="14"/>
    </row>
    <row r="528" spans="1:8" x14ac:dyDescent="0.25">
      <c r="A528" t="s">
        <v>190</v>
      </c>
      <c r="H528" s="14"/>
    </row>
    <row r="529" spans="1:8" x14ac:dyDescent="0.25">
      <c r="A529" t="s">
        <v>191</v>
      </c>
      <c r="H529" s="14"/>
    </row>
    <row r="530" spans="1:8" x14ac:dyDescent="0.25">
      <c r="A530" t="s">
        <v>192</v>
      </c>
      <c r="H530" s="14"/>
    </row>
    <row r="531" spans="1:8" x14ac:dyDescent="0.25">
      <c r="A531" t="s">
        <v>193</v>
      </c>
      <c r="H531" s="14"/>
    </row>
    <row r="532" spans="1:8" x14ac:dyDescent="0.25">
      <c r="A532" t="s">
        <v>1273</v>
      </c>
      <c r="H532" s="14"/>
    </row>
    <row r="533" spans="1:8" x14ac:dyDescent="0.25">
      <c r="A533" t="s">
        <v>194</v>
      </c>
      <c r="H533" s="14"/>
    </row>
    <row r="534" spans="1:8" x14ac:dyDescent="0.25">
      <c r="A534" t="s">
        <v>1274</v>
      </c>
      <c r="H534" s="14"/>
    </row>
    <row r="535" spans="1:8" x14ac:dyDescent="0.25">
      <c r="A535" t="s">
        <v>195</v>
      </c>
      <c r="H535" s="14"/>
    </row>
    <row r="536" spans="1:8" x14ac:dyDescent="0.25">
      <c r="A536" t="s">
        <v>196</v>
      </c>
      <c r="H536" s="14"/>
    </row>
    <row r="537" spans="1:8" x14ac:dyDescent="0.25">
      <c r="A537" t="s">
        <v>1275</v>
      </c>
      <c r="H537" s="14"/>
    </row>
    <row r="538" spans="1:8" x14ac:dyDescent="0.25">
      <c r="A538" t="s">
        <v>1276</v>
      </c>
      <c r="H538" s="14"/>
    </row>
    <row r="539" spans="1:8" x14ac:dyDescent="0.25">
      <c r="A539" t="s">
        <v>197</v>
      </c>
      <c r="H539" s="14"/>
    </row>
    <row r="540" spans="1:8" x14ac:dyDescent="0.25">
      <c r="A540" t="s">
        <v>1277</v>
      </c>
      <c r="H540" s="14"/>
    </row>
    <row r="541" spans="1:8" x14ac:dyDescent="0.25">
      <c r="A541" t="s">
        <v>1278</v>
      </c>
      <c r="H541" s="14"/>
    </row>
    <row r="542" spans="1:8" x14ac:dyDescent="0.25">
      <c r="A542" t="s">
        <v>1279</v>
      </c>
      <c r="H542" s="14"/>
    </row>
    <row r="543" spans="1:8" x14ac:dyDescent="0.25">
      <c r="A543" t="s">
        <v>198</v>
      </c>
      <c r="H543" s="14"/>
    </row>
    <row r="544" spans="1:8" x14ac:dyDescent="0.25">
      <c r="A544" t="s">
        <v>1280</v>
      </c>
      <c r="H544" s="14"/>
    </row>
    <row r="545" spans="1:8" x14ac:dyDescent="0.25">
      <c r="A545" t="s">
        <v>199</v>
      </c>
      <c r="H545" s="14"/>
    </row>
    <row r="546" spans="1:8" x14ac:dyDescent="0.25">
      <c r="A546" t="s">
        <v>1281</v>
      </c>
      <c r="H546" s="14"/>
    </row>
    <row r="547" spans="1:8" x14ac:dyDescent="0.25">
      <c r="A547" t="s">
        <v>200</v>
      </c>
      <c r="H547" s="14"/>
    </row>
    <row r="548" spans="1:8" x14ac:dyDescent="0.25">
      <c r="A548" t="s">
        <v>1282</v>
      </c>
      <c r="H548" s="14"/>
    </row>
    <row r="549" spans="1:8" x14ac:dyDescent="0.25">
      <c r="A549" t="s">
        <v>201</v>
      </c>
      <c r="H549" s="14"/>
    </row>
    <row r="550" spans="1:8" x14ac:dyDescent="0.25">
      <c r="A550" t="s">
        <v>202</v>
      </c>
      <c r="H550" s="14"/>
    </row>
    <row r="551" spans="1:8" x14ac:dyDescent="0.25">
      <c r="A551" t="s">
        <v>203</v>
      </c>
      <c r="H551" s="14"/>
    </row>
    <row r="552" spans="1:8" x14ac:dyDescent="0.25">
      <c r="A552" t="s">
        <v>1283</v>
      </c>
      <c r="H552" s="14"/>
    </row>
    <row r="553" spans="1:8" x14ac:dyDescent="0.25">
      <c r="A553" t="s">
        <v>1284</v>
      </c>
      <c r="H553" s="14"/>
    </row>
    <row r="554" spans="1:8" x14ac:dyDescent="0.25">
      <c r="A554" t="s">
        <v>1285</v>
      </c>
      <c r="H554" s="14"/>
    </row>
    <row r="555" spans="1:8" x14ac:dyDescent="0.25">
      <c r="A555" t="s">
        <v>204</v>
      </c>
      <c r="H555" s="14"/>
    </row>
    <row r="556" spans="1:8" x14ac:dyDescent="0.25">
      <c r="A556" t="s">
        <v>1286</v>
      </c>
      <c r="H556" s="14"/>
    </row>
    <row r="557" spans="1:8" x14ac:dyDescent="0.25">
      <c r="A557" t="s">
        <v>1287</v>
      </c>
      <c r="H557" s="14"/>
    </row>
    <row r="558" spans="1:8" x14ac:dyDescent="0.25">
      <c r="A558" t="s">
        <v>205</v>
      </c>
      <c r="H558" s="14"/>
    </row>
    <row r="559" spans="1:8" x14ac:dyDescent="0.25">
      <c r="A559" t="s">
        <v>1288</v>
      </c>
      <c r="H559" s="14"/>
    </row>
    <row r="560" spans="1:8" x14ac:dyDescent="0.25">
      <c r="A560" t="s">
        <v>1289</v>
      </c>
      <c r="H560" s="14"/>
    </row>
    <row r="561" spans="1:8" x14ac:dyDescent="0.25">
      <c r="A561" t="s">
        <v>206</v>
      </c>
      <c r="H561" s="14"/>
    </row>
    <row r="562" spans="1:8" x14ac:dyDescent="0.25">
      <c r="A562" t="s">
        <v>207</v>
      </c>
      <c r="H562" s="14"/>
    </row>
    <row r="563" spans="1:8" x14ac:dyDescent="0.25">
      <c r="A563" t="s">
        <v>1290</v>
      </c>
      <c r="H563" s="14"/>
    </row>
    <row r="564" spans="1:8" x14ac:dyDescent="0.25">
      <c r="A564" t="s">
        <v>208</v>
      </c>
      <c r="H564" s="14"/>
    </row>
    <row r="565" spans="1:8" x14ac:dyDescent="0.25">
      <c r="A565" t="s">
        <v>1291</v>
      </c>
      <c r="H565" s="14"/>
    </row>
    <row r="566" spans="1:8" x14ac:dyDescent="0.25">
      <c r="A566" t="s">
        <v>1292</v>
      </c>
      <c r="H566" s="14"/>
    </row>
    <row r="567" spans="1:8" x14ac:dyDescent="0.25">
      <c r="A567" t="s">
        <v>1293</v>
      </c>
      <c r="H567" s="14"/>
    </row>
    <row r="568" spans="1:8" x14ac:dyDescent="0.25">
      <c r="A568" t="s">
        <v>209</v>
      </c>
      <c r="H568" s="14"/>
    </row>
    <row r="569" spans="1:8" x14ac:dyDescent="0.25">
      <c r="A569" t="s">
        <v>210</v>
      </c>
      <c r="H569" s="14"/>
    </row>
    <row r="570" spans="1:8" x14ac:dyDescent="0.25">
      <c r="A570" t="s">
        <v>211</v>
      </c>
      <c r="H570" s="14"/>
    </row>
    <row r="571" spans="1:8" x14ac:dyDescent="0.25">
      <c r="A571" t="s">
        <v>212</v>
      </c>
      <c r="H571" s="14"/>
    </row>
    <row r="572" spans="1:8" x14ac:dyDescent="0.25">
      <c r="A572" t="s">
        <v>2029</v>
      </c>
      <c r="H572" s="14"/>
    </row>
    <row r="573" spans="1:8" x14ac:dyDescent="0.25">
      <c r="A573" t="s">
        <v>213</v>
      </c>
      <c r="H573" s="14"/>
    </row>
    <row r="574" spans="1:8" x14ac:dyDescent="0.25">
      <c r="A574" t="s">
        <v>214</v>
      </c>
      <c r="H574" s="14"/>
    </row>
    <row r="575" spans="1:8" x14ac:dyDescent="0.25">
      <c r="A575" t="s">
        <v>1294</v>
      </c>
      <c r="H575" s="14"/>
    </row>
    <row r="576" spans="1:8" x14ac:dyDescent="0.25">
      <c r="A576" t="s">
        <v>1295</v>
      </c>
      <c r="H576" s="14"/>
    </row>
    <row r="577" spans="1:8" x14ac:dyDescent="0.25">
      <c r="A577" t="s">
        <v>215</v>
      </c>
      <c r="H577" s="14"/>
    </row>
    <row r="578" spans="1:8" x14ac:dyDescent="0.25">
      <c r="A578" t="s">
        <v>1296</v>
      </c>
      <c r="H578" s="14"/>
    </row>
    <row r="579" spans="1:8" x14ac:dyDescent="0.25">
      <c r="A579" t="s">
        <v>1297</v>
      </c>
      <c r="H579" s="14"/>
    </row>
    <row r="580" spans="1:8" x14ac:dyDescent="0.25">
      <c r="A580" t="s">
        <v>1298</v>
      </c>
      <c r="H580" s="14"/>
    </row>
    <row r="581" spans="1:8" x14ac:dyDescent="0.25">
      <c r="A581" t="s">
        <v>216</v>
      </c>
      <c r="H581" s="14"/>
    </row>
    <row r="582" spans="1:8" x14ac:dyDescent="0.25">
      <c r="A582" t="s">
        <v>1299</v>
      </c>
      <c r="H582" s="14"/>
    </row>
    <row r="583" spans="1:8" x14ac:dyDescent="0.25">
      <c r="A583" t="s">
        <v>217</v>
      </c>
      <c r="H583" s="14"/>
    </row>
    <row r="584" spans="1:8" x14ac:dyDescent="0.25">
      <c r="A584" t="s">
        <v>1300</v>
      </c>
      <c r="H584" s="14"/>
    </row>
    <row r="585" spans="1:8" x14ac:dyDescent="0.25">
      <c r="A585" t="s">
        <v>218</v>
      </c>
      <c r="H585" s="14"/>
    </row>
    <row r="586" spans="1:8" x14ac:dyDescent="0.25">
      <c r="A586" t="s">
        <v>219</v>
      </c>
      <c r="H586" s="14"/>
    </row>
    <row r="587" spans="1:8" x14ac:dyDescent="0.25">
      <c r="A587" t="s">
        <v>220</v>
      </c>
      <c r="H587" s="14"/>
    </row>
    <row r="588" spans="1:8" x14ac:dyDescent="0.25">
      <c r="A588" t="s">
        <v>221</v>
      </c>
      <c r="H588" s="14"/>
    </row>
    <row r="589" spans="1:8" x14ac:dyDescent="0.25">
      <c r="A589" t="s">
        <v>222</v>
      </c>
      <c r="H589" s="14"/>
    </row>
    <row r="590" spans="1:8" x14ac:dyDescent="0.25">
      <c r="A590" t="s">
        <v>223</v>
      </c>
      <c r="H590" s="14"/>
    </row>
    <row r="591" spans="1:8" x14ac:dyDescent="0.25">
      <c r="A591" t="s">
        <v>1301</v>
      </c>
      <c r="H591" s="14"/>
    </row>
    <row r="592" spans="1:8" x14ac:dyDescent="0.25">
      <c r="A592" t="s">
        <v>224</v>
      </c>
      <c r="H592" s="14"/>
    </row>
    <row r="593" spans="1:8" x14ac:dyDescent="0.25">
      <c r="A593" t="s">
        <v>1302</v>
      </c>
      <c r="H593" s="14"/>
    </row>
    <row r="594" spans="1:8" x14ac:dyDescent="0.25">
      <c r="A594" t="s">
        <v>225</v>
      </c>
      <c r="H594" s="14"/>
    </row>
    <row r="595" spans="1:8" x14ac:dyDescent="0.25">
      <c r="A595" t="s">
        <v>226</v>
      </c>
      <c r="H595" s="14"/>
    </row>
    <row r="596" spans="1:8" x14ac:dyDescent="0.25">
      <c r="A596" t="s">
        <v>1303</v>
      </c>
      <c r="H596" s="14"/>
    </row>
    <row r="597" spans="1:8" x14ac:dyDescent="0.25">
      <c r="A597" t="s">
        <v>1304</v>
      </c>
      <c r="H597" s="14"/>
    </row>
    <row r="598" spans="1:8" x14ac:dyDescent="0.25">
      <c r="A598" t="s">
        <v>227</v>
      </c>
      <c r="H598" s="14"/>
    </row>
    <row r="599" spans="1:8" x14ac:dyDescent="0.25">
      <c r="A599" t="s">
        <v>1305</v>
      </c>
      <c r="H599" s="14"/>
    </row>
    <row r="600" spans="1:8" x14ac:dyDescent="0.25">
      <c r="A600" t="s">
        <v>1306</v>
      </c>
      <c r="H600" s="14"/>
    </row>
    <row r="601" spans="1:8" x14ac:dyDescent="0.25">
      <c r="A601" t="s">
        <v>1307</v>
      </c>
      <c r="H601" s="14"/>
    </row>
    <row r="602" spans="1:8" x14ac:dyDescent="0.25">
      <c r="A602" t="s">
        <v>228</v>
      </c>
      <c r="H602" s="14"/>
    </row>
    <row r="603" spans="1:8" x14ac:dyDescent="0.25">
      <c r="A603" t="s">
        <v>1308</v>
      </c>
      <c r="H603" s="14"/>
    </row>
    <row r="604" spans="1:8" x14ac:dyDescent="0.25">
      <c r="A604" t="s">
        <v>229</v>
      </c>
      <c r="H604" s="14"/>
    </row>
    <row r="605" spans="1:8" x14ac:dyDescent="0.25">
      <c r="A605" t="s">
        <v>1309</v>
      </c>
      <c r="H605" s="14"/>
    </row>
    <row r="606" spans="1:8" x14ac:dyDescent="0.25">
      <c r="A606" t="s">
        <v>230</v>
      </c>
      <c r="H606" s="14"/>
    </row>
    <row r="607" spans="1:8" x14ac:dyDescent="0.25">
      <c r="A607" t="s">
        <v>1310</v>
      </c>
      <c r="H607" s="14"/>
    </row>
    <row r="608" spans="1:8" x14ac:dyDescent="0.25">
      <c r="A608" t="s">
        <v>231</v>
      </c>
      <c r="H608" s="14"/>
    </row>
    <row r="609" spans="1:8" x14ac:dyDescent="0.25">
      <c r="A609" t="s">
        <v>232</v>
      </c>
      <c r="H609" s="14"/>
    </row>
    <row r="610" spans="1:8" x14ac:dyDescent="0.25">
      <c r="A610" t="s">
        <v>233</v>
      </c>
      <c r="H610" s="14"/>
    </row>
    <row r="611" spans="1:8" x14ac:dyDescent="0.25">
      <c r="A611" t="s">
        <v>1311</v>
      </c>
      <c r="H611" s="14"/>
    </row>
    <row r="612" spans="1:8" x14ac:dyDescent="0.25">
      <c r="A612" t="s">
        <v>1312</v>
      </c>
      <c r="H612" s="14"/>
    </row>
    <row r="613" spans="1:8" x14ac:dyDescent="0.25">
      <c r="A613" t="s">
        <v>1313</v>
      </c>
      <c r="H613" s="14"/>
    </row>
    <row r="614" spans="1:8" x14ac:dyDescent="0.25">
      <c r="A614" t="s">
        <v>234</v>
      </c>
      <c r="H614" s="14"/>
    </row>
    <row r="615" spans="1:8" x14ac:dyDescent="0.25">
      <c r="A615" t="s">
        <v>1314</v>
      </c>
      <c r="H615" s="14"/>
    </row>
    <row r="616" spans="1:8" x14ac:dyDescent="0.25">
      <c r="A616" t="s">
        <v>1315</v>
      </c>
      <c r="H616" s="14"/>
    </row>
    <row r="617" spans="1:8" x14ac:dyDescent="0.25">
      <c r="A617" t="s">
        <v>235</v>
      </c>
      <c r="H617" s="14"/>
    </row>
    <row r="618" spans="1:8" x14ac:dyDescent="0.25">
      <c r="A618" t="s">
        <v>1316</v>
      </c>
      <c r="H618" s="14"/>
    </row>
    <row r="619" spans="1:8" x14ac:dyDescent="0.25">
      <c r="A619" t="s">
        <v>1317</v>
      </c>
      <c r="H619" s="14"/>
    </row>
    <row r="620" spans="1:8" x14ac:dyDescent="0.25">
      <c r="A620" t="s">
        <v>236</v>
      </c>
      <c r="H620" s="14"/>
    </row>
    <row r="621" spans="1:8" x14ac:dyDescent="0.25">
      <c r="A621" t="s">
        <v>237</v>
      </c>
      <c r="H621" s="14"/>
    </row>
    <row r="622" spans="1:8" x14ac:dyDescent="0.25">
      <c r="A622" t="s">
        <v>1318</v>
      </c>
      <c r="H622" s="14"/>
    </row>
    <row r="623" spans="1:8" x14ac:dyDescent="0.25">
      <c r="A623" t="s">
        <v>238</v>
      </c>
      <c r="H623" s="14"/>
    </row>
    <row r="624" spans="1:8" x14ac:dyDescent="0.25">
      <c r="A624" t="s">
        <v>1319</v>
      </c>
      <c r="H624" s="14"/>
    </row>
    <row r="625" spans="1:8" x14ac:dyDescent="0.25">
      <c r="A625" t="s">
        <v>1320</v>
      </c>
      <c r="H625" s="14"/>
    </row>
    <row r="626" spans="1:8" x14ac:dyDescent="0.25">
      <c r="A626" t="s">
        <v>1321</v>
      </c>
      <c r="H626" s="14"/>
    </row>
    <row r="627" spans="1:8" x14ac:dyDescent="0.25">
      <c r="A627" t="s">
        <v>239</v>
      </c>
      <c r="H627" s="14"/>
    </row>
    <row r="628" spans="1:8" x14ac:dyDescent="0.25">
      <c r="A628" t="s">
        <v>240</v>
      </c>
      <c r="H628" s="14"/>
    </row>
    <row r="629" spans="1:8" x14ac:dyDescent="0.25">
      <c r="A629" t="s">
        <v>241</v>
      </c>
      <c r="H629" s="14"/>
    </row>
    <row r="630" spans="1:8" x14ac:dyDescent="0.25">
      <c r="A630" t="s">
        <v>242</v>
      </c>
      <c r="H630" s="14"/>
    </row>
    <row r="631" spans="1:8" x14ac:dyDescent="0.25">
      <c r="A631" t="s">
        <v>2030</v>
      </c>
      <c r="H631" s="14"/>
    </row>
    <row r="632" spans="1:8" x14ac:dyDescent="0.25">
      <c r="A632" t="s">
        <v>243</v>
      </c>
      <c r="H632" s="14"/>
    </row>
    <row r="633" spans="1:8" x14ac:dyDescent="0.25">
      <c r="A633" t="s">
        <v>244</v>
      </c>
      <c r="H633" s="14"/>
    </row>
    <row r="634" spans="1:8" x14ac:dyDescent="0.25">
      <c r="A634" t="s">
        <v>1322</v>
      </c>
      <c r="H634" s="14"/>
    </row>
    <row r="635" spans="1:8" x14ac:dyDescent="0.25">
      <c r="A635" t="s">
        <v>1323</v>
      </c>
      <c r="H635" s="14"/>
    </row>
    <row r="636" spans="1:8" x14ac:dyDescent="0.25">
      <c r="A636" t="s">
        <v>245</v>
      </c>
      <c r="H636" s="14"/>
    </row>
    <row r="637" spans="1:8" x14ac:dyDescent="0.25">
      <c r="A637" t="s">
        <v>1324</v>
      </c>
      <c r="H637" s="14"/>
    </row>
    <row r="638" spans="1:8" x14ac:dyDescent="0.25">
      <c r="A638" t="s">
        <v>1325</v>
      </c>
      <c r="H638" s="14"/>
    </row>
    <row r="639" spans="1:8" x14ac:dyDescent="0.25">
      <c r="A639" t="s">
        <v>1326</v>
      </c>
      <c r="H639" s="14"/>
    </row>
    <row r="640" spans="1:8" x14ac:dyDescent="0.25">
      <c r="A640" t="s">
        <v>246</v>
      </c>
      <c r="H640" s="14"/>
    </row>
    <row r="641" spans="1:8" x14ac:dyDescent="0.25">
      <c r="A641" t="s">
        <v>1327</v>
      </c>
      <c r="H641" s="14"/>
    </row>
    <row r="642" spans="1:8" x14ac:dyDescent="0.25">
      <c r="A642" t="s">
        <v>247</v>
      </c>
      <c r="H642" s="14"/>
    </row>
    <row r="643" spans="1:8" x14ac:dyDescent="0.25">
      <c r="A643" t="s">
        <v>1328</v>
      </c>
      <c r="H643" s="14"/>
    </row>
    <row r="644" spans="1:8" x14ac:dyDescent="0.25">
      <c r="A644" t="s">
        <v>248</v>
      </c>
      <c r="H644" s="14"/>
    </row>
    <row r="645" spans="1:8" x14ac:dyDescent="0.25">
      <c r="A645" t="s">
        <v>249</v>
      </c>
      <c r="H645" s="14"/>
    </row>
    <row r="646" spans="1:8" x14ac:dyDescent="0.25">
      <c r="A646" t="s">
        <v>250</v>
      </c>
      <c r="H646" s="14"/>
    </row>
    <row r="647" spans="1:8" x14ac:dyDescent="0.25">
      <c r="A647" t="s">
        <v>251</v>
      </c>
      <c r="H647" s="14"/>
    </row>
    <row r="648" spans="1:8" x14ac:dyDescent="0.25">
      <c r="A648" t="s">
        <v>252</v>
      </c>
      <c r="H648" s="14"/>
    </row>
    <row r="649" spans="1:8" x14ac:dyDescent="0.25">
      <c r="A649" t="s">
        <v>253</v>
      </c>
      <c r="H649" s="14"/>
    </row>
    <row r="650" spans="1:8" x14ac:dyDescent="0.25">
      <c r="A650" t="s">
        <v>1329</v>
      </c>
      <c r="H650" s="14"/>
    </row>
    <row r="651" spans="1:8" x14ac:dyDescent="0.25">
      <c r="A651" t="s">
        <v>254</v>
      </c>
      <c r="H651" s="14"/>
    </row>
    <row r="652" spans="1:8" x14ac:dyDescent="0.25">
      <c r="A652" t="s">
        <v>1330</v>
      </c>
      <c r="H652" s="14"/>
    </row>
    <row r="653" spans="1:8" x14ac:dyDescent="0.25">
      <c r="A653" t="s">
        <v>255</v>
      </c>
      <c r="H653" s="14"/>
    </row>
    <row r="654" spans="1:8" x14ac:dyDescent="0.25">
      <c r="A654" t="s">
        <v>256</v>
      </c>
      <c r="H654" s="14"/>
    </row>
    <row r="655" spans="1:8" x14ac:dyDescent="0.25">
      <c r="A655" t="s">
        <v>1331</v>
      </c>
      <c r="H655" s="14"/>
    </row>
    <row r="656" spans="1:8" x14ac:dyDescent="0.25">
      <c r="A656" t="s">
        <v>1332</v>
      </c>
      <c r="H656" s="14"/>
    </row>
    <row r="657" spans="1:8" x14ac:dyDescent="0.25">
      <c r="A657" t="s">
        <v>257</v>
      </c>
      <c r="H657" s="14"/>
    </row>
    <row r="658" spans="1:8" x14ac:dyDescent="0.25">
      <c r="A658" t="s">
        <v>1333</v>
      </c>
      <c r="H658" s="14"/>
    </row>
    <row r="659" spans="1:8" x14ac:dyDescent="0.25">
      <c r="A659" t="s">
        <v>1334</v>
      </c>
      <c r="H659" s="14"/>
    </row>
    <row r="660" spans="1:8" x14ac:dyDescent="0.25">
      <c r="A660" t="s">
        <v>1335</v>
      </c>
      <c r="H660" s="14"/>
    </row>
    <row r="661" spans="1:8" x14ac:dyDescent="0.25">
      <c r="A661" t="s">
        <v>258</v>
      </c>
      <c r="H661" s="14"/>
    </row>
    <row r="662" spans="1:8" x14ac:dyDescent="0.25">
      <c r="A662" t="s">
        <v>1336</v>
      </c>
      <c r="H662" s="14"/>
    </row>
    <row r="663" spans="1:8" x14ac:dyDescent="0.25">
      <c r="A663" t="s">
        <v>259</v>
      </c>
      <c r="H663" s="14"/>
    </row>
    <row r="664" spans="1:8" x14ac:dyDescent="0.25">
      <c r="A664" t="s">
        <v>1337</v>
      </c>
      <c r="H664" s="14"/>
    </row>
    <row r="665" spans="1:8" x14ac:dyDescent="0.25">
      <c r="A665" t="s">
        <v>260</v>
      </c>
      <c r="H665" s="14"/>
    </row>
    <row r="666" spans="1:8" x14ac:dyDescent="0.25">
      <c r="A666" t="s">
        <v>1338</v>
      </c>
      <c r="H666" s="14"/>
    </row>
    <row r="667" spans="1:8" x14ac:dyDescent="0.25">
      <c r="A667" t="s">
        <v>261</v>
      </c>
      <c r="H667" s="14"/>
    </row>
    <row r="668" spans="1:8" x14ac:dyDescent="0.25">
      <c r="A668" t="s">
        <v>262</v>
      </c>
      <c r="H668" s="14"/>
    </row>
    <row r="669" spans="1:8" x14ac:dyDescent="0.25">
      <c r="A669" t="s">
        <v>263</v>
      </c>
      <c r="H669" s="14"/>
    </row>
    <row r="670" spans="1:8" x14ac:dyDescent="0.25">
      <c r="A670" t="s">
        <v>1339</v>
      </c>
      <c r="H670" s="14"/>
    </row>
    <row r="671" spans="1:8" x14ac:dyDescent="0.25">
      <c r="A671" t="s">
        <v>1340</v>
      </c>
      <c r="H671" s="14"/>
    </row>
    <row r="672" spans="1:8" x14ac:dyDescent="0.25">
      <c r="A672" t="s">
        <v>1341</v>
      </c>
      <c r="H672" s="14"/>
    </row>
    <row r="673" spans="1:8" x14ac:dyDescent="0.25">
      <c r="A673" t="s">
        <v>264</v>
      </c>
      <c r="H673" s="14"/>
    </row>
    <row r="674" spans="1:8" x14ac:dyDescent="0.25">
      <c r="A674" t="s">
        <v>1342</v>
      </c>
      <c r="H674" s="14"/>
    </row>
    <row r="675" spans="1:8" x14ac:dyDescent="0.25">
      <c r="A675" t="s">
        <v>1343</v>
      </c>
      <c r="H675" s="14"/>
    </row>
    <row r="676" spans="1:8" x14ac:dyDescent="0.25">
      <c r="A676" t="s">
        <v>265</v>
      </c>
      <c r="H676" s="14"/>
    </row>
    <row r="677" spans="1:8" x14ac:dyDescent="0.25">
      <c r="A677" t="s">
        <v>1344</v>
      </c>
      <c r="H677" s="14"/>
    </row>
    <row r="678" spans="1:8" x14ac:dyDescent="0.25">
      <c r="A678" t="s">
        <v>1345</v>
      </c>
      <c r="H678" s="14"/>
    </row>
    <row r="679" spans="1:8" x14ac:dyDescent="0.25">
      <c r="A679" t="s">
        <v>266</v>
      </c>
      <c r="H679" s="14"/>
    </row>
    <row r="680" spans="1:8" x14ac:dyDescent="0.25">
      <c r="A680" t="s">
        <v>267</v>
      </c>
      <c r="H680" s="14"/>
    </row>
    <row r="681" spans="1:8" x14ac:dyDescent="0.25">
      <c r="A681" t="s">
        <v>1346</v>
      </c>
      <c r="H681" s="14"/>
    </row>
    <row r="682" spans="1:8" x14ac:dyDescent="0.25">
      <c r="A682" t="s">
        <v>268</v>
      </c>
      <c r="H682" s="14"/>
    </row>
    <row r="683" spans="1:8" x14ac:dyDescent="0.25">
      <c r="A683" t="s">
        <v>1347</v>
      </c>
      <c r="H683" s="14"/>
    </row>
    <row r="684" spans="1:8" x14ac:dyDescent="0.25">
      <c r="A684" t="s">
        <v>1348</v>
      </c>
      <c r="H684" s="14"/>
    </row>
    <row r="685" spans="1:8" x14ac:dyDescent="0.25">
      <c r="A685" t="s">
        <v>1349</v>
      </c>
      <c r="H685" s="14"/>
    </row>
    <row r="686" spans="1:8" x14ac:dyDescent="0.25">
      <c r="A686" t="s">
        <v>269</v>
      </c>
      <c r="H686" s="14"/>
    </row>
    <row r="687" spans="1:8" x14ac:dyDescent="0.25">
      <c r="A687" t="s">
        <v>270</v>
      </c>
      <c r="H687" s="14"/>
    </row>
    <row r="688" spans="1:8" x14ac:dyDescent="0.25">
      <c r="A688" t="s">
        <v>271</v>
      </c>
      <c r="H688" s="14"/>
    </row>
    <row r="689" spans="1:8" x14ac:dyDescent="0.25">
      <c r="A689" t="s">
        <v>272</v>
      </c>
      <c r="H689" s="14"/>
    </row>
    <row r="690" spans="1:8" x14ac:dyDescent="0.25">
      <c r="A690" t="s">
        <v>2031</v>
      </c>
      <c r="H690" s="14"/>
    </row>
    <row r="691" spans="1:8" x14ac:dyDescent="0.25">
      <c r="A691" t="s">
        <v>273</v>
      </c>
      <c r="H691" s="14"/>
    </row>
    <row r="692" spans="1:8" x14ac:dyDescent="0.25">
      <c r="A692" t="s">
        <v>274</v>
      </c>
      <c r="H692" s="14"/>
    </row>
    <row r="693" spans="1:8" x14ac:dyDescent="0.25">
      <c r="A693" t="s">
        <v>1350</v>
      </c>
      <c r="H693" s="14"/>
    </row>
    <row r="694" spans="1:8" x14ac:dyDescent="0.25">
      <c r="A694" t="s">
        <v>1351</v>
      </c>
      <c r="H694" s="14"/>
    </row>
    <row r="695" spans="1:8" x14ac:dyDescent="0.25">
      <c r="A695" t="s">
        <v>275</v>
      </c>
      <c r="H695" s="14"/>
    </row>
    <row r="696" spans="1:8" x14ac:dyDescent="0.25">
      <c r="A696" t="s">
        <v>1352</v>
      </c>
      <c r="H696" s="14"/>
    </row>
    <row r="697" spans="1:8" x14ac:dyDescent="0.25">
      <c r="A697" t="s">
        <v>1353</v>
      </c>
      <c r="H697" s="14"/>
    </row>
    <row r="698" spans="1:8" x14ac:dyDescent="0.25">
      <c r="A698" t="s">
        <v>1354</v>
      </c>
      <c r="H698" s="14"/>
    </row>
    <row r="699" spans="1:8" x14ac:dyDescent="0.25">
      <c r="A699" t="s">
        <v>276</v>
      </c>
      <c r="H699" s="14"/>
    </row>
    <row r="700" spans="1:8" x14ac:dyDescent="0.25">
      <c r="A700" t="s">
        <v>1355</v>
      </c>
      <c r="H700" s="14"/>
    </row>
    <row r="701" spans="1:8" x14ac:dyDescent="0.25">
      <c r="A701" t="s">
        <v>277</v>
      </c>
      <c r="H701" s="14"/>
    </row>
    <row r="702" spans="1:8" x14ac:dyDescent="0.25">
      <c r="A702" t="s">
        <v>1356</v>
      </c>
      <c r="H702" s="14"/>
    </row>
    <row r="703" spans="1:8" x14ac:dyDescent="0.25">
      <c r="A703" t="s">
        <v>278</v>
      </c>
      <c r="H703" s="14"/>
    </row>
    <row r="704" spans="1:8" x14ac:dyDescent="0.25">
      <c r="A704" t="s">
        <v>279</v>
      </c>
      <c r="H704" s="14"/>
    </row>
    <row r="705" spans="1:8" x14ac:dyDescent="0.25">
      <c r="A705" t="s">
        <v>280</v>
      </c>
      <c r="H705" s="14"/>
    </row>
    <row r="706" spans="1:8" x14ac:dyDescent="0.25">
      <c r="A706" t="s">
        <v>281</v>
      </c>
      <c r="H706" s="14"/>
    </row>
    <row r="707" spans="1:8" x14ac:dyDescent="0.25">
      <c r="A707" t="s">
        <v>282</v>
      </c>
      <c r="H707" s="14"/>
    </row>
    <row r="708" spans="1:8" x14ac:dyDescent="0.25">
      <c r="A708" t="s">
        <v>283</v>
      </c>
      <c r="H708" s="14"/>
    </row>
    <row r="709" spans="1:8" x14ac:dyDescent="0.25">
      <c r="A709" t="s">
        <v>1357</v>
      </c>
      <c r="H709" s="14"/>
    </row>
    <row r="710" spans="1:8" x14ac:dyDescent="0.25">
      <c r="A710" t="s">
        <v>284</v>
      </c>
      <c r="H710" s="14"/>
    </row>
    <row r="711" spans="1:8" x14ac:dyDescent="0.25">
      <c r="A711" t="s">
        <v>1358</v>
      </c>
      <c r="H711" s="14"/>
    </row>
    <row r="712" spans="1:8" x14ac:dyDescent="0.25">
      <c r="A712" t="s">
        <v>285</v>
      </c>
      <c r="H712" s="14"/>
    </row>
    <row r="713" spans="1:8" x14ac:dyDescent="0.25">
      <c r="A713" t="s">
        <v>286</v>
      </c>
      <c r="H713" s="14"/>
    </row>
    <row r="714" spans="1:8" x14ac:dyDescent="0.25">
      <c r="A714" t="s">
        <v>1359</v>
      </c>
      <c r="H714" s="14"/>
    </row>
    <row r="715" spans="1:8" x14ac:dyDescent="0.25">
      <c r="A715" t="s">
        <v>1360</v>
      </c>
      <c r="H715" s="14"/>
    </row>
    <row r="716" spans="1:8" x14ac:dyDescent="0.25">
      <c r="A716" t="s">
        <v>287</v>
      </c>
      <c r="H716" s="14"/>
    </row>
    <row r="717" spans="1:8" x14ac:dyDescent="0.25">
      <c r="A717" t="s">
        <v>1361</v>
      </c>
      <c r="H717" s="14"/>
    </row>
    <row r="718" spans="1:8" x14ac:dyDescent="0.25">
      <c r="A718" t="s">
        <v>1362</v>
      </c>
      <c r="H718" s="14"/>
    </row>
    <row r="719" spans="1:8" x14ac:dyDescent="0.25">
      <c r="A719" t="s">
        <v>1363</v>
      </c>
      <c r="H719" s="14"/>
    </row>
    <row r="720" spans="1:8" x14ac:dyDescent="0.25">
      <c r="A720" t="s">
        <v>288</v>
      </c>
      <c r="H720" s="14"/>
    </row>
    <row r="721" spans="1:8" x14ac:dyDescent="0.25">
      <c r="A721" t="s">
        <v>1364</v>
      </c>
      <c r="H721" s="14"/>
    </row>
    <row r="722" spans="1:8" x14ac:dyDescent="0.25">
      <c r="A722" t="s">
        <v>289</v>
      </c>
      <c r="H722" s="14"/>
    </row>
    <row r="723" spans="1:8" x14ac:dyDescent="0.25">
      <c r="A723" t="s">
        <v>1365</v>
      </c>
      <c r="H723" s="14"/>
    </row>
    <row r="724" spans="1:8" x14ac:dyDescent="0.25">
      <c r="A724" t="s">
        <v>290</v>
      </c>
      <c r="H724" s="14"/>
    </row>
    <row r="725" spans="1:8" x14ac:dyDescent="0.25">
      <c r="A725" t="s">
        <v>1366</v>
      </c>
      <c r="H725" s="14"/>
    </row>
    <row r="726" spans="1:8" x14ac:dyDescent="0.25">
      <c r="A726" t="s">
        <v>291</v>
      </c>
      <c r="H726" s="14"/>
    </row>
    <row r="727" spans="1:8" x14ac:dyDescent="0.25">
      <c r="A727" t="s">
        <v>292</v>
      </c>
      <c r="H727" s="14"/>
    </row>
    <row r="728" spans="1:8" x14ac:dyDescent="0.25">
      <c r="A728" t="s">
        <v>293</v>
      </c>
      <c r="H728" s="14"/>
    </row>
    <row r="729" spans="1:8" x14ac:dyDescent="0.25">
      <c r="A729" t="s">
        <v>1367</v>
      </c>
      <c r="H729" s="14"/>
    </row>
    <row r="730" spans="1:8" x14ac:dyDescent="0.25">
      <c r="A730" t="s">
        <v>1368</v>
      </c>
      <c r="H730" s="14"/>
    </row>
    <row r="731" spans="1:8" x14ac:dyDescent="0.25">
      <c r="A731" t="s">
        <v>1369</v>
      </c>
      <c r="H731" s="14"/>
    </row>
    <row r="732" spans="1:8" x14ac:dyDescent="0.25">
      <c r="A732" t="s">
        <v>294</v>
      </c>
      <c r="H732" s="14"/>
    </row>
    <row r="733" spans="1:8" x14ac:dyDescent="0.25">
      <c r="A733" t="s">
        <v>1370</v>
      </c>
      <c r="H733" s="14"/>
    </row>
    <row r="734" spans="1:8" x14ac:dyDescent="0.25">
      <c r="A734" t="s">
        <v>1371</v>
      </c>
      <c r="H734" s="14"/>
    </row>
    <row r="735" spans="1:8" x14ac:dyDescent="0.25">
      <c r="A735" t="s">
        <v>295</v>
      </c>
      <c r="H735" s="14"/>
    </row>
    <row r="736" spans="1:8" x14ac:dyDescent="0.25">
      <c r="A736" t="s">
        <v>1372</v>
      </c>
      <c r="H736" s="14"/>
    </row>
    <row r="737" spans="1:8" x14ac:dyDescent="0.25">
      <c r="A737" t="s">
        <v>1373</v>
      </c>
      <c r="H737" s="14"/>
    </row>
    <row r="738" spans="1:8" x14ac:dyDescent="0.25">
      <c r="A738" t="s">
        <v>296</v>
      </c>
      <c r="H738" s="14"/>
    </row>
    <row r="739" spans="1:8" x14ac:dyDescent="0.25">
      <c r="A739" t="s">
        <v>297</v>
      </c>
      <c r="H739" s="14"/>
    </row>
    <row r="740" spans="1:8" x14ac:dyDescent="0.25">
      <c r="A740" t="s">
        <v>1374</v>
      </c>
      <c r="H740" s="14"/>
    </row>
    <row r="741" spans="1:8" x14ac:dyDescent="0.25">
      <c r="A741" t="s">
        <v>298</v>
      </c>
      <c r="H741" s="14"/>
    </row>
    <row r="742" spans="1:8" x14ac:dyDescent="0.25">
      <c r="A742" t="s">
        <v>1375</v>
      </c>
      <c r="H742" s="14"/>
    </row>
    <row r="743" spans="1:8" x14ac:dyDescent="0.25">
      <c r="A743" t="s">
        <v>1376</v>
      </c>
      <c r="H743" s="14"/>
    </row>
    <row r="744" spans="1:8" x14ac:dyDescent="0.25">
      <c r="A744" t="s">
        <v>1377</v>
      </c>
      <c r="H744" s="14"/>
    </row>
    <row r="745" spans="1:8" x14ac:dyDescent="0.25">
      <c r="A745" t="s">
        <v>299</v>
      </c>
      <c r="H745" s="14"/>
    </row>
    <row r="746" spans="1:8" x14ac:dyDescent="0.25">
      <c r="A746" t="s">
        <v>300</v>
      </c>
      <c r="H746" s="14"/>
    </row>
    <row r="747" spans="1:8" x14ac:dyDescent="0.25">
      <c r="A747" t="s">
        <v>301</v>
      </c>
      <c r="H747" s="14"/>
    </row>
    <row r="748" spans="1:8" x14ac:dyDescent="0.25">
      <c r="A748" t="s">
        <v>302</v>
      </c>
      <c r="H748" s="14"/>
    </row>
    <row r="749" spans="1:8" x14ac:dyDescent="0.25">
      <c r="A749" t="s">
        <v>2032</v>
      </c>
      <c r="H749" s="14"/>
    </row>
    <row r="750" spans="1:8" x14ac:dyDescent="0.25">
      <c r="A750" t="s">
        <v>303</v>
      </c>
      <c r="H750" s="14"/>
    </row>
    <row r="751" spans="1:8" x14ac:dyDescent="0.25">
      <c r="A751" t="s">
        <v>304</v>
      </c>
      <c r="H751" s="14"/>
    </row>
    <row r="752" spans="1:8" x14ac:dyDescent="0.25">
      <c r="A752" t="s">
        <v>1378</v>
      </c>
      <c r="H752" s="14"/>
    </row>
    <row r="753" spans="1:8" x14ac:dyDescent="0.25">
      <c r="A753" t="s">
        <v>1379</v>
      </c>
      <c r="H753" s="14"/>
    </row>
    <row r="754" spans="1:8" x14ac:dyDescent="0.25">
      <c r="A754" t="s">
        <v>305</v>
      </c>
      <c r="H754" s="14"/>
    </row>
    <row r="755" spans="1:8" x14ac:dyDescent="0.25">
      <c r="A755" t="s">
        <v>1380</v>
      </c>
      <c r="H755" s="14"/>
    </row>
    <row r="756" spans="1:8" x14ac:dyDescent="0.25">
      <c r="A756" t="s">
        <v>1381</v>
      </c>
      <c r="H756" s="14"/>
    </row>
    <row r="757" spans="1:8" x14ac:dyDescent="0.25">
      <c r="A757" t="s">
        <v>1382</v>
      </c>
      <c r="H757" s="14"/>
    </row>
    <row r="758" spans="1:8" x14ac:dyDescent="0.25">
      <c r="A758" t="s">
        <v>306</v>
      </c>
      <c r="H758" s="14"/>
    </row>
    <row r="759" spans="1:8" x14ac:dyDescent="0.25">
      <c r="A759" t="s">
        <v>1383</v>
      </c>
      <c r="H759" s="14"/>
    </row>
    <row r="760" spans="1:8" x14ac:dyDescent="0.25">
      <c r="A760" t="s">
        <v>307</v>
      </c>
      <c r="H760" s="14"/>
    </row>
    <row r="761" spans="1:8" x14ac:dyDescent="0.25">
      <c r="A761" t="s">
        <v>1384</v>
      </c>
      <c r="H761" s="14"/>
    </row>
    <row r="762" spans="1:8" x14ac:dyDescent="0.25">
      <c r="A762" t="s">
        <v>308</v>
      </c>
      <c r="H762" s="14"/>
    </row>
    <row r="763" spans="1:8" x14ac:dyDescent="0.25">
      <c r="A763" t="s">
        <v>309</v>
      </c>
      <c r="H763" s="14"/>
    </row>
    <row r="764" spans="1:8" x14ac:dyDescent="0.25">
      <c r="A764" t="s">
        <v>310</v>
      </c>
      <c r="H764" s="14"/>
    </row>
    <row r="765" spans="1:8" x14ac:dyDescent="0.25">
      <c r="A765" t="s">
        <v>311</v>
      </c>
      <c r="H765" s="14"/>
    </row>
    <row r="766" spans="1:8" x14ac:dyDescent="0.25">
      <c r="A766" t="s">
        <v>312</v>
      </c>
      <c r="H766" s="14"/>
    </row>
    <row r="767" spans="1:8" x14ac:dyDescent="0.25">
      <c r="A767" t="s">
        <v>313</v>
      </c>
      <c r="H767" s="14"/>
    </row>
    <row r="768" spans="1:8" x14ac:dyDescent="0.25">
      <c r="A768" t="s">
        <v>1385</v>
      </c>
      <c r="H768" s="14"/>
    </row>
    <row r="769" spans="1:8" x14ac:dyDescent="0.25">
      <c r="A769" t="s">
        <v>314</v>
      </c>
      <c r="H769" s="14"/>
    </row>
    <row r="770" spans="1:8" x14ac:dyDescent="0.25">
      <c r="A770" t="s">
        <v>1386</v>
      </c>
      <c r="H770" s="14"/>
    </row>
    <row r="771" spans="1:8" x14ac:dyDescent="0.25">
      <c r="A771" t="s">
        <v>315</v>
      </c>
      <c r="H771" s="14"/>
    </row>
    <row r="772" spans="1:8" x14ac:dyDescent="0.25">
      <c r="A772" t="s">
        <v>316</v>
      </c>
      <c r="H772" s="14"/>
    </row>
    <row r="773" spans="1:8" x14ac:dyDescent="0.25">
      <c r="A773" t="s">
        <v>1387</v>
      </c>
      <c r="H773" s="14"/>
    </row>
    <row r="774" spans="1:8" x14ac:dyDescent="0.25">
      <c r="A774" t="s">
        <v>1388</v>
      </c>
      <c r="H774" s="14"/>
    </row>
    <row r="775" spans="1:8" x14ac:dyDescent="0.25">
      <c r="A775" t="s">
        <v>317</v>
      </c>
      <c r="H775" s="14"/>
    </row>
    <row r="776" spans="1:8" x14ac:dyDescent="0.25">
      <c r="A776" t="s">
        <v>1389</v>
      </c>
      <c r="H776" s="14"/>
    </row>
    <row r="777" spans="1:8" x14ac:dyDescent="0.25">
      <c r="A777" t="s">
        <v>1390</v>
      </c>
      <c r="H777" s="14"/>
    </row>
    <row r="778" spans="1:8" x14ac:dyDescent="0.25">
      <c r="A778" t="s">
        <v>1391</v>
      </c>
      <c r="H778" s="14"/>
    </row>
    <row r="779" spans="1:8" x14ac:dyDescent="0.25">
      <c r="A779" t="s">
        <v>318</v>
      </c>
      <c r="H779" s="14"/>
    </row>
    <row r="780" spans="1:8" x14ac:dyDescent="0.25">
      <c r="A780" t="s">
        <v>1392</v>
      </c>
      <c r="H780" s="14"/>
    </row>
    <row r="781" spans="1:8" x14ac:dyDescent="0.25">
      <c r="A781" t="s">
        <v>319</v>
      </c>
      <c r="H781" s="14"/>
    </row>
    <row r="782" spans="1:8" x14ac:dyDescent="0.25">
      <c r="A782" t="s">
        <v>1393</v>
      </c>
      <c r="H782" s="14"/>
    </row>
    <row r="783" spans="1:8" x14ac:dyDescent="0.25">
      <c r="A783" t="s">
        <v>320</v>
      </c>
      <c r="H783" s="14"/>
    </row>
    <row r="784" spans="1:8" x14ac:dyDescent="0.25">
      <c r="A784" t="s">
        <v>1394</v>
      </c>
      <c r="H784" s="14"/>
    </row>
    <row r="785" spans="1:8" x14ac:dyDescent="0.25">
      <c r="A785" t="s">
        <v>321</v>
      </c>
      <c r="H785" s="14"/>
    </row>
    <row r="786" spans="1:8" x14ac:dyDescent="0.25">
      <c r="A786" t="s">
        <v>322</v>
      </c>
      <c r="H786" s="14"/>
    </row>
    <row r="787" spans="1:8" x14ac:dyDescent="0.25">
      <c r="A787" t="s">
        <v>323</v>
      </c>
      <c r="H787" s="14"/>
    </row>
    <row r="788" spans="1:8" x14ac:dyDescent="0.25">
      <c r="A788" t="s">
        <v>1395</v>
      </c>
      <c r="H788" s="14"/>
    </row>
    <row r="789" spans="1:8" x14ac:dyDescent="0.25">
      <c r="A789" t="s">
        <v>1396</v>
      </c>
      <c r="H789" s="14"/>
    </row>
    <row r="790" spans="1:8" x14ac:dyDescent="0.25">
      <c r="A790" t="s">
        <v>1397</v>
      </c>
      <c r="H790" s="14"/>
    </row>
    <row r="791" spans="1:8" x14ac:dyDescent="0.25">
      <c r="A791" t="s">
        <v>324</v>
      </c>
      <c r="H791" s="14"/>
    </row>
    <row r="792" spans="1:8" x14ac:dyDescent="0.25">
      <c r="A792" t="s">
        <v>1398</v>
      </c>
      <c r="H792" s="14"/>
    </row>
    <row r="793" spans="1:8" x14ac:dyDescent="0.25">
      <c r="A793" t="s">
        <v>1399</v>
      </c>
      <c r="H793" s="14"/>
    </row>
    <row r="794" spans="1:8" x14ac:dyDescent="0.25">
      <c r="A794" t="s">
        <v>325</v>
      </c>
      <c r="H794" s="14"/>
    </row>
    <row r="795" spans="1:8" x14ac:dyDescent="0.25">
      <c r="A795" t="s">
        <v>1400</v>
      </c>
      <c r="H795" s="14"/>
    </row>
    <row r="796" spans="1:8" x14ac:dyDescent="0.25">
      <c r="A796" t="s">
        <v>1401</v>
      </c>
      <c r="H796" s="14"/>
    </row>
    <row r="797" spans="1:8" x14ac:dyDescent="0.25">
      <c r="A797" t="s">
        <v>326</v>
      </c>
      <c r="H797" s="14"/>
    </row>
    <row r="798" spans="1:8" x14ac:dyDescent="0.25">
      <c r="A798" t="s">
        <v>327</v>
      </c>
      <c r="H798" s="14"/>
    </row>
    <row r="799" spans="1:8" x14ac:dyDescent="0.25">
      <c r="A799" t="s">
        <v>1402</v>
      </c>
      <c r="H799" s="14"/>
    </row>
    <row r="800" spans="1:8" x14ac:dyDescent="0.25">
      <c r="A800" t="s">
        <v>328</v>
      </c>
      <c r="H800" s="14"/>
    </row>
    <row r="801" spans="1:8" x14ac:dyDescent="0.25">
      <c r="A801" t="s">
        <v>1403</v>
      </c>
      <c r="H801" s="14"/>
    </row>
    <row r="802" spans="1:8" x14ac:dyDescent="0.25">
      <c r="A802" t="s">
        <v>1404</v>
      </c>
      <c r="H802" s="14"/>
    </row>
    <row r="803" spans="1:8" x14ac:dyDescent="0.25">
      <c r="A803" t="s">
        <v>1405</v>
      </c>
      <c r="H803" s="14"/>
    </row>
    <row r="804" spans="1:8" x14ac:dyDescent="0.25">
      <c r="A804" t="s">
        <v>329</v>
      </c>
      <c r="H804" s="14"/>
    </row>
    <row r="805" spans="1:8" x14ac:dyDescent="0.25">
      <c r="A805" t="s">
        <v>330</v>
      </c>
      <c r="H805" s="14"/>
    </row>
    <row r="806" spans="1:8" x14ac:dyDescent="0.25">
      <c r="A806" t="s">
        <v>331</v>
      </c>
      <c r="H806" s="14"/>
    </row>
    <row r="807" spans="1:8" x14ac:dyDescent="0.25">
      <c r="A807" t="s">
        <v>332</v>
      </c>
      <c r="H807" s="14"/>
    </row>
    <row r="808" spans="1:8" x14ac:dyDescent="0.25">
      <c r="A808" t="s">
        <v>2033</v>
      </c>
      <c r="H808" s="14"/>
    </row>
    <row r="809" spans="1:8" x14ac:dyDescent="0.25">
      <c r="A809" t="s">
        <v>333</v>
      </c>
      <c r="H809" s="14"/>
    </row>
    <row r="810" spans="1:8" x14ac:dyDescent="0.25">
      <c r="A810" t="s">
        <v>334</v>
      </c>
      <c r="H810" s="14"/>
    </row>
    <row r="811" spans="1:8" x14ac:dyDescent="0.25">
      <c r="A811" t="s">
        <v>1406</v>
      </c>
      <c r="H811" s="14"/>
    </row>
    <row r="812" spans="1:8" x14ac:dyDescent="0.25">
      <c r="A812" t="s">
        <v>1407</v>
      </c>
      <c r="H812" s="14"/>
    </row>
    <row r="813" spans="1:8" x14ac:dyDescent="0.25">
      <c r="A813" t="s">
        <v>335</v>
      </c>
      <c r="H813" s="14"/>
    </row>
    <row r="814" spans="1:8" x14ac:dyDescent="0.25">
      <c r="A814" t="s">
        <v>1408</v>
      </c>
      <c r="H814" s="14"/>
    </row>
    <row r="815" spans="1:8" x14ac:dyDescent="0.25">
      <c r="A815" t="s">
        <v>1409</v>
      </c>
      <c r="H815" s="14"/>
    </row>
    <row r="816" spans="1:8" x14ac:dyDescent="0.25">
      <c r="A816" t="s">
        <v>1410</v>
      </c>
      <c r="H816" s="14"/>
    </row>
    <row r="817" spans="1:8" x14ac:dyDescent="0.25">
      <c r="A817" t="s">
        <v>336</v>
      </c>
      <c r="H817" s="14"/>
    </row>
    <row r="818" spans="1:8" x14ac:dyDescent="0.25">
      <c r="A818" t="s">
        <v>1411</v>
      </c>
      <c r="H818" s="14"/>
    </row>
    <row r="819" spans="1:8" x14ac:dyDescent="0.25">
      <c r="A819" t="s">
        <v>337</v>
      </c>
      <c r="H819" s="14"/>
    </row>
    <row r="820" spans="1:8" x14ac:dyDescent="0.25">
      <c r="A820" t="s">
        <v>1412</v>
      </c>
      <c r="H820" s="14"/>
    </row>
    <row r="821" spans="1:8" x14ac:dyDescent="0.25">
      <c r="A821" t="s">
        <v>338</v>
      </c>
      <c r="H821" s="14"/>
    </row>
    <row r="822" spans="1:8" x14ac:dyDescent="0.25">
      <c r="A822" t="s">
        <v>339</v>
      </c>
      <c r="H822" s="14"/>
    </row>
    <row r="823" spans="1:8" x14ac:dyDescent="0.25">
      <c r="A823" t="s">
        <v>340</v>
      </c>
      <c r="H823" s="14"/>
    </row>
    <row r="824" spans="1:8" x14ac:dyDescent="0.25">
      <c r="A824" t="s">
        <v>341</v>
      </c>
      <c r="H824" s="14"/>
    </row>
    <row r="825" spans="1:8" x14ac:dyDescent="0.25">
      <c r="A825" t="s">
        <v>342</v>
      </c>
      <c r="H825" s="14"/>
    </row>
    <row r="826" spans="1:8" x14ac:dyDescent="0.25">
      <c r="A826" t="s">
        <v>343</v>
      </c>
      <c r="H826" s="14"/>
    </row>
    <row r="827" spans="1:8" x14ac:dyDescent="0.25">
      <c r="A827" t="s">
        <v>1413</v>
      </c>
      <c r="H827" s="14"/>
    </row>
    <row r="828" spans="1:8" x14ac:dyDescent="0.25">
      <c r="A828" t="s">
        <v>344</v>
      </c>
      <c r="H828" s="14"/>
    </row>
    <row r="829" spans="1:8" x14ac:dyDescent="0.25">
      <c r="A829" t="s">
        <v>1414</v>
      </c>
      <c r="H829" s="14"/>
    </row>
    <row r="830" spans="1:8" x14ac:dyDescent="0.25">
      <c r="A830" t="s">
        <v>345</v>
      </c>
      <c r="H830" s="14"/>
    </row>
    <row r="831" spans="1:8" x14ac:dyDescent="0.25">
      <c r="A831" t="s">
        <v>346</v>
      </c>
      <c r="H831" s="14"/>
    </row>
    <row r="832" spans="1:8" x14ac:dyDescent="0.25">
      <c r="A832" t="s">
        <v>1415</v>
      </c>
      <c r="H832" s="14"/>
    </row>
    <row r="833" spans="1:8" x14ac:dyDescent="0.25">
      <c r="A833" t="s">
        <v>1416</v>
      </c>
      <c r="H833" s="14"/>
    </row>
    <row r="834" spans="1:8" x14ac:dyDescent="0.25">
      <c r="A834" t="s">
        <v>347</v>
      </c>
      <c r="H834" s="14"/>
    </row>
    <row r="835" spans="1:8" x14ac:dyDescent="0.25">
      <c r="A835" t="s">
        <v>1417</v>
      </c>
      <c r="H835" s="14"/>
    </row>
    <row r="836" spans="1:8" x14ac:dyDescent="0.25">
      <c r="A836" t="s">
        <v>1418</v>
      </c>
      <c r="H836" s="14"/>
    </row>
    <row r="837" spans="1:8" x14ac:dyDescent="0.25">
      <c r="A837" t="s">
        <v>1419</v>
      </c>
      <c r="H837" s="14"/>
    </row>
    <row r="838" spans="1:8" x14ac:dyDescent="0.25">
      <c r="A838" t="s">
        <v>348</v>
      </c>
      <c r="H838" s="14"/>
    </row>
    <row r="839" spans="1:8" x14ac:dyDescent="0.25">
      <c r="A839" t="s">
        <v>1420</v>
      </c>
      <c r="H839" s="14"/>
    </row>
    <row r="840" spans="1:8" x14ac:dyDescent="0.25">
      <c r="A840" t="s">
        <v>349</v>
      </c>
      <c r="H840" s="14"/>
    </row>
    <row r="841" spans="1:8" x14ac:dyDescent="0.25">
      <c r="A841" t="s">
        <v>1421</v>
      </c>
      <c r="H841" s="14"/>
    </row>
    <row r="842" spans="1:8" x14ac:dyDescent="0.25">
      <c r="A842" t="s">
        <v>350</v>
      </c>
      <c r="H842" s="14"/>
    </row>
    <row r="843" spans="1:8" x14ac:dyDescent="0.25">
      <c r="A843" t="s">
        <v>1422</v>
      </c>
      <c r="H843" s="14"/>
    </row>
    <row r="844" spans="1:8" x14ac:dyDescent="0.25">
      <c r="A844" t="s">
        <v>351</v>
      </c>
      <c r="H844" s="14"/>
    </row>
    <row r="845" spans="1:8" x14ac:dyDescent="0.25">
      <c r="A845" t="s">
        <v>352</v>
      </c>
      <c r="H845" s="14"/>
    </row>
    <row r="846" spans="1:8" x14ac:dyDescent="0.25">
      <c r="A846" t="s">
        <v>353</v>
      </c>
      <c r="H846" s="14"/>
    </row>
    <row r="847" spans="1:8" x14ac:dyDescent="0.25">
      <c r="A847" t="s">
        <v>1423</v>
      </c>
      <c r="H847" s="14"/>
    </row>
    <row r="848" spans="1:8" x14ac:dyDescent="0.25">
      <c r="A848" t="s">
        <v>1424</v>
      </c>
      <c r="H848" s="14"/>
    </row>
    <row r="849" spans="1:8" x14ac:dyDescent="0.25">
      <c r="A849" t="s">
        <v>1425</v>
      </c>
      <c r="H849" s="14"/>
    </row>
    <row r="850" spans="1:8" x14ac:dyDescent="0.25">
      <c r="A850" t="s">
        <v>354</v>
      </c>
      <c r="H850" s="14"/>
    </row>
    <row r="851" spans="1:8" x14ac:dyDescent="0.25">
      <c r="A851" t="s">
        <v>1426</v>
      </c>
      <c r="H851" s="14"/>
    </row>
    <row r="852" spans="1:8" x14ac:dyDescent="0.25">
      <c r="A852" t="s">
        <v>1427</v>
      </c>
      <c r="H852" s="14"/>
    </row>
    <row r="853" spans="1:8" x14ac:dyDescent="0.25">
      <c r="A853" t="s">
        <v>355</v>
      </c>
      <c r="H853" s="14"/>
    </row>
    <row r="854" spans="1:8" x14ac:dyDescent="0.25">
      <c r="A854" t="s">
        <v>1428</v>
      </c>
      <c r="H854" s="14"/>
    </row>
    <row r="855" spans="1:8" x14ac:dyDescent="0.25">
      <c r="A855" t="s">
        <v>1429</v>
      </c>
      <c r="H855" s="14"/>
    </row>
    <row r="856" spans="1:8" x14ac:dyDescent="0.25">
      <c r="A856" t="s">
        <v>356</v>
      </c>
      <c r="H856" s="14"/>
    </row>
    <row r="857" spans="1:8" x14ac:dyDescent="0.25">
      <c r="A857" t="s">
        <v>357</v>
      </c>
      <c r="H857" s="14"/>
    </row>
    <row r="858" spans="1:8" x14ac:dyDescent="0.25">
      <c r="A858" t="s">
        <v>1430</v>
      </c>
      <c r="H858" s="14"/>
    </row>
    <row r="859" spans="1:8" x14ac:dyDescent="0.25">
      <c r="A859" t="s">
        <v>358</v>
      </c>
      <c r="H859" s="14"/>
    </row>
    <row r="860" spans="1:8" x14ac:dyDescent="0.25">
      <c r="A860" t="s">
        <v>1431</v>
      </c>
      <c r="H860" s="14"/>
    </row>
    <row r="861" spans="1:8" x14ac:dyDescent="0.25">
      <c r="A861" t="s">
        <v>1432</v>
      </c>
      <c r="H861" s="14"/>
    </row>
    <row r="862" spans="1:8" x14ac:dyDescent="0.25">
      <c r="A862" t="s">
        <v>1433</v>
      </c>
      <c r="H862" s="14"/>
    </row>
    <row r="863" spans="1:8" x14ac:dyDescent="0.25">
      <c r="A863" t="s">
        <v>359</v>
      </c>
      <c r="H863" s="14"/>
    </row>
    <row r="864" spans="1:8" x14ac:dyDescent="0.25">
      <c r="A864" t="s">
        <v>360</v>
      </c>
      <c r="H864" s="14"/>
    </row>
    <row r="865" spans="1:8" x14ac:dyDescent="0.25">
      <c r="A865" t="s">
        <v>361</v>
      </c>
      <c r="H865" s="14"/>
    </row>
    <row r="866" spans="1:8" x14ac:dyDescent="0.25">
      <c r="A866" t="s">
        <v>362</v>
      </c>
      <c r="H866" s="14"/>
    </row>
    <row r="867" spans="1:8" x14ac:dyDescent="0.25">
      <c r="A867" t="s">
        <v>2034</v>
      </c>
      <c r="H867" s="14"/>
    </row>
    <row r="868" spans="1:8" x14ac:dyDescent="0.25">
      <c r="A868" t="s">
        <v>363</v>
      </c>
      <c r="H868" s="14"/>
    </row>
    <row r="869" spans="1:8" x14ac:dyDescent="0.25">
      <c r="A869" t="s">
        <v>364</v>
      </c>
      <c r="H869" s="14"/>
    </row>
    <row r="870" spans="1:8" x14ac:dyDescent="0.25">
      <c r="A870" t="s">
        <v>1434</v>
      </c>
      <c r="H870" s="14"/>
    </row>
    <row r="871" spans="1:8" x14ac:dyDescent="0.25">
      <c r="A871" t="s">
        <v>1435</v>
      </c>
      <c r="H871" s="14"/>
    </row>
    <row r="872" spans="1:8" x14ac:dyDescent="0.25">
      <c r="A872" t="s">
        <v>365</v>
      </c>
      <c r="H872" s="14"/>
    </row>
    <row r="873" spans="1:8" x14ac:dyDescent="0.25">
      <c r="A873" t="s">
        <v>1436</v>
      </c>
      <c r="H873" s="14"/>
    </row>
    <row r="874" spans="1:8" x14ac:dyDescent="0.25">
      <c r="A874" t="s">
        <v>1437</v>
      </c>
      <c r="H874" s="14"/>
    </row>
    <row r="875" spans="1:8" x14ac:dyDescent="0.25">
      <c r="A875" t="s">
        <v>1438</v>
      </c>
      <c r="H875" s="14"/>
    </row>
    <row r="876" spans="1:8" x14ac:dyDescent="0.25">
      <c r="A876" t="s">
        <v>366</v>
      </c>
      <c r="H876" s="14"/>
    </row>
    <row r="877" spans="1:8" x14ac:dyDescent="0.25">
      <c r="A877" t="s">
        <v>1439</v>
      </c>
      <c r="H877" s="14"/>
    </row>
    <row r="878" spans="1:8" x14ac:dyDescent="0.25">
      <c r="A878" t="s">
        <v>367</v>
      </c>
      <c r="H878" s="14"/>
    </row>
    <row r="879" spans="1:8" x14ac:dyDescent="0.25">
      <c r="A879" t="s">
        <v>1440</v>
      </c>
      <c r="H879" s="14"/>
    </row>
    <row r="880" spans="1:8" x14ac:dyDescent="0.25">
      <c r="A880" t="s">
        <v>368</v>
      </c>
      <c r="H880" s="14"/>
    </row>
    <row r="881" spans="1:8" x14ac:dyDescent="0.25">
      <c r="A881" t="s">
        <v>369</v>
      </c>
      <c r="H881" s="14"/>
    </row>
    <row r="882" spans="1:8" x14ac:dyDescent="0.25">
      <c r="A882" t="s">
        <v>370</v>
      </c>
      <c r="H882" s="14"/>
    </row>
    <row r="883" spans="1:8" x14ac:dyDescent="0.25">
      <c r="A883" t="s">
        <v>371</v>
      </c>
      <c r="H883" s="14"/>
    </row>
    <row r="884" spans="1:8" x14ac:dyDescent="0.25">
      <c r="A884" t="s">
        <v>372</v>
      </c>
      <c r="H884" s="14"/>
    </row>
    <row r="885" spans="1:8" x14ac:dyDescent="0.25">
      <c r="A885" t="s">
        <v>373</v>
      </c>
      <c r="H885" s="14"/>
    </row>
    <row r="886" spans="1:8" x14ac:dyDescent="0.25">
      <c r="A886" t="s">
        <v>1441</v>
      </c>
      <c r="H886" s="14"/>
    </row>
    <row r="887" spans="1:8" x14ac:dyDescent="0.25">
      <c r="A887" t="s">
        <v>374</v>
      </c>
      <c r="H887" s="14"/>
    </row>
    <row r="888" spans="1:8" x14ac:dyDescent="0.25">
      <c r="A888" t="s">
        <v>1442</v>
      </c>
      <c r="H888" s="14"/>
    </row>
    <row r="889" spans="1:8" x14ac:dyDescent="0.25">
      <c r="A889" t="s">
        <v>375</v>
      </c>
      <c r="H889" s="14"/>
    </row>
    <row r="890" spans="1:8" x14ac:dyDescent="0.25">
      <c r="A890" t="s">
        <v>376</v>
      </c>
      <c r="H890" s="14"/>
    </row>
    <row r="891" spans="1:8" x14ac:dyDescent="0.25">
      <c r="A891" t="s">
        <v>1443</v>
      </c>
      <c r="H891" s="14"/>
    </row>
    <row r="892" spans="1:8" x14ac:dyDescent="0.25">
      <c r="A892" t="s">
        <v>1444</v>
      </c>
      <c r="H892" s="14"/>
    </row>
    <row r="893" spans="1:8" x14ac:dyDescent="0.25">
      <c r="A893" t="s">
        <v>377</v>
      </c>
      <c r="H893" s="14"/>
    </row>
    <row r="894" spans="1:8" x14ac:dyDescent="0.25">
      <c r="A894" t="s">
        <v>1445</v>
      </c>
      <c r="H894" s="14"/>
    </row>
    <row r="895" spans="1:8" x14ac:dyDescent="0.25">
      <c r="A895" t="s">
        <v>1446</v>
      </c>
      <c r="H895" s="14"/>
    </row>
    <row r="896" spans="1:8" x14ac:dyDescent="0.25">
      <c r="A896" t="s">
        <v>1447</v>
      </c>
      <c r="H896" s="14"/>
    </row>
    <row r="897" spans="1:8" x14ac:dyDescent="0.25">
      <c r="A897" t="s">
        <v>378</v>
      </c>
      <c r="H897" s="14"/>
    </row>
    <row r="898" spans="1:8" x14ac:dyDescent="0.25">
      <c r="A898" t="s">
        <v>1448</v>
      </c>
      <c r="H898" s="14"/>
    </row>
    <row r="899" spans="1:8" x14ac:dyDescent="0.25">
      <c r="A899" t="s">
        <v>379</v>
      </c>
      <c r="H899" s="14"/>
    </row>
    <row r="900" spans="1:8" x14ac:dyDescent="0.25">
      <c r="A900" t="s">
        <v>1449</v>
      </c>
      <c r="H900" s="14"/>
    </row>
    <row r="901" spans="1:8" x14ac:dyDescent="0.25">
      <c r="A901" t="s">
        <v>380</v>
      </c>
      <c r="H901" s="14"/>
    </row>
    <row r="902" spans="1:8" x14ac:dyDescent="0.25">
      <c r="A902" t="s">
        <v>1450</v>
      </c>
      <c r="H902" s="14"/>
    </row>
    <row r="903" spans="1:8" x14ac:dyDescent="0.25">
      <c r="A903" t="s">
        <v>381</v>
      </c>
      <c r="H903" s="14"/>
    </row>
    <row r="904" spans="1:8" x14ac:dyDescent="0.25">
      <c r="A904" t="s">
        <v>382</v>
      </c>
      <c r="H904" s="14"/>
    </row>
    <row r="905" spans="1:8" x14ac:dyDescent="0.25">
      <c r="A905" t="s">
        <v>383</v>
      </c>
      <c r="H905" s="14"/>
    </row>
    <row r="906" spans="1:8" x14ac:dyDescent="0.25">
      <c r="A906" t="s">
        <v>1451</v>
      </c>
      <c r="H906" s="14"/>
    </row>
    <row r="907" spans="1:8" x14ac:dyDescent="0.25">
      <c r="A907" t="s">
        <v>1452</v>
      </c>
      <c r="H907" s="14"/>
    </row>
    <row r="908" spans="1:8" x14ac:dyDescent="0.25">
      <c r="A908" t="s">
        <v>1453</v>
      </c>
      <c r="H908" s="14"/>
    </row>
    <row r="909" spans="1:8" x14ac:dyDescent="0.25">
      <c r="A909" t="s">
        <v>384</v>
      </c>
      <c r="H909" s="14"/>
    </row>
    <row r="910" spans="1:8" x14ac:dyDescent="0.25">
      <c r="A910" t="s">
        <v>1454</v>
      </c>
      <c r="H910" s="14"/>
    </row>
    <row r="911" spans="1:8" x14ac:dyDescent="0.25">
      <c r="A911" t="s">
        <v>1455</v>
      </c>
      <c r="H911" s="14"/>
    </row>
    <row r="912" spans="1:8" x14ac:dyDescent="0.25">
      <c r="A912" t="s">
        <v>385</v>
      </c>
      <c r="H912" s="14"/>
    </row>
    <row r="913" spans="1:8" x14ac:dyDescent="0.25">
      <c r="A913" t="s">
        <v>1456</v>
      </c>
      <c r="H913" s="14"/>
    </row>
    <row r="914" spans="1:8" x14ac:dyDescent="0.25">
      <c r="A914" t="s">
        <v>1457</v>
      </c>
      <c r="H914" s="14"/>
    </row>
    <row r="915" spans="1:8" x14ac:dyDescent="0.25">
      <c r="A915" t="s">
        <v>386</v>
      </c>
      <c r="H915" s="14"/>
    </row>
    <row r="916" spans="1:8" x14ac:dyDescent="0.25">
      <c r="A916" t="s">
        <v>387</v>
      </c>
      <c r="H916" s="14"/>
    </row>
    <row r="917" spans="1:8" x14ac:dyDescent="0.25">
      <c r="A917" t="s">
        <v>1458</v>
      </c>
      <c r="H917" s="14"/>
    </row>
    <row r="918" spans="1:8" x14ac:dyDescent="0.25">
      <c r="A918" t="s">
        <v>388</v>
      </c>
      <c r="H918" s="14"/>
    </row>
    <row r="919" spans="1:8" x14ac:dyDescent="0.25">
      <c r="A919" t="s">
        <v>1459</v>
      </c>
      <c r="H919" s="14"/>
    </row>
    <row r="920" spans="1:8" x14ac:dyDescent="0.25">
      <c r="A920" t="s">
        <v>1460</v>
      </c>
      <c r="H920" s="14"/>
    </row>
    <row r="921" spans="1:8" x14ac:dyDescent="0.25">
      <c r="A921" t="s">
        <v>1461</v>
      </c>
      <c r="H921" s="14"/>
    </row>
    <row r="922" spans="1:8" x14ac:dyDescent="0.25">
      <c r="A922" t="s">
        <v>389</v>
      </c>
      <c r="H922" s="14"/>
    </row>
    <row r="923" spans="1:8" x14ac:dyDescent="0.25">
      <c r="A923" t="s">
        <v>390</v>
      </c>
      <c r="H923" s="14"/>
    </row>
    <row r="924" spans="1:8" x14ac:dyDescent="0.25">
      <c r="A924" t="s">
        <v>391</v>
      </c>
      <c r="H924" s="14"/>
    </row>
    <row r="925" spans="1:8" x14ac:dyDescent="0.25">
      <c r="A925" t="s">
        <v>392</v>
      </c>
      <c r="H925" s="14"/>
    </row>
    <row r="926" spans="1:8" x14ac:dyDescent="0.25">
      <c r="A926" t="s">
        <v>2035</v>
      </c>
      <c r="H926" s="14"/>
    </row>
    <row r="927" spans="1:8" x14ac:dyDescent="0.25">
      <c r="A927" t="s">
        <v>393</v>
      </c>
      <c r="H927" s="14"/>
    </row>
    <row r="928" spans="1:8" x14ac:dyDescent="0.25">
      <c r="A928" t="s">
        <v>394</v>
      </c>
      <c r="H928" s="14"/>
    </row>
    <row r="929" spans="1:8" x14ac:dyDescent="0.25">
      <c r="A929" t="s">
        <v>1462</v>
      </c>
      <c r="H929" s="14"/>
    </row>
    <row r="930" spans="1:8" x14ac:dyDescent="0.25">
      <c r="A930" t="s">
        <v>1463</v>
      </c>
      <c r="H930" s="14"/>
    </row>
    <row r="931" spans="1:8" x14ac:dyDescent="0.25">
      <c r="A931" t="s">
        <v>395</v>
      </c>
      <c r="H931" s="14"/>
    </row>
    <row r="932" spans="1:8" x14ac:dyDescent="0.25">
      <c r="A932" t="s">
        <v>1464</v>
      </c>
      <c r="H932" s="14"/>
    </row>
    <row r="933" spans="1:8" x14ac:dyDescent="0.25">
      <c r="A933" t="s">
        <v>1465</v>
      </c>
      <c r="H933" s="14"/>
    </row>
    <row r="934" spans="1:8" x14ac:dyDescent="0.25">
      <c r="A934" t="s">
        <v>1466</v>
      </c>
      <c r="H934" s="14"/>
    </row>
    <row r="935" spans="1:8" x14ac:dyDescent="0.25">
      <c r="A935" t="s">
        <v>396</v>
      </c>
      <c r="H935" s="14"/>
    </row>
    <row r="936" spans="1:8" x14ac:dyDescent="0.25">
      <c r="A936" t="s">
        <v>1467</v>
      </c>
      <c r="H936" s="14"/>
    </row>
    <row r="937" spans="1:8" x14ac:dyDescent="0.25">
      <c r="A937" t="s">
        <v>397</v>
      </c>
      <c r="H937" s="14"/>
    </row>
    <row r="938" spans="1:8" x14ac:dyDescent="0.25">
      <c r="A938" t="s">
        <v>1468</v>
      </c>
      <c r="H938" s="14"/>
    </row>
    <row r="939" spans="1:8" x14ac:dyDescent="0.25">
      <c r="A939" t="s">
        <v>398</v>
      </c>
      <c r="H939" s="14"/>
    </row>
    <row r="940" spans="1:8" x14ac:dyDescent="0.25">
      <c r="A940" t="s">
        <v>399</v>
      </c>
      <c r="H940" s="14"/>
    </row>
    <row r="941" spans="1:8" x14ac:dyDescent="0.25">
      <c r="A941" t="s">
        <v>400</v>
      </c>
      <c r="H941" s="14"/>
    </row>
    <row r="942" spans="1:8" x14ac:dyDescent="0.25">
      <c r="A942" t="s">
        <v>401</v>
      </c>
      <c r="H942" s="14"/>
    </row>
    <row r="943" spans="1:8" x14ac:dyDescent="0.25">
      <c r="A943" t="s">
        <v>402</v>
      </c>
      <c r="H943" s="14"/>
    </row>
    <row r="944" spans="1:8" x14ac:dyDescent="0.25">
      <c r="A944" t="s">
        <v>403</v>
      </c>
      <c r="H944" s="14"/>
    </row>
    <row r="945" spans="1:8" x14ac:dyDescent="0.25">
      <c r="A945" t="s">
        <v>1469</v>
      </c>
      <c r="H945" s="14"/>
    </row>
    <row r="946" spans="1:8" x14ac:dyDescent="0.25">
      <c r="A946" t="s">
        <v>404</v>
      </c>
      <c r="H946" s="14"/>
    </row>
    <row r="947" spans="1:8" x14ac:dyDescent="0.25">
      <c r="A947" t="s">
        <v>1470</v>
      </c>
      <c r="H947" s="14"/>
    </row>
    <row r="948" spans="1:8" x14ac:dyDescent="0.25">
      <c r="A948" t="s">
        <v>405</v>
      </c>
      <c r="H948" s="14"/>
    </row>
    <row r="949" spans="1:8" x14ac:dyDescent="0.25">
      <c r="A949" t="s">
        <v>406</v>
      </c>
      <c r="H949" s="14"/>
    </row>
    <row r="950" spans="1:8" x14ac:dyDescent="0.25">
      <c r="A950" t="s">
        <v>1471</v>
      </c>
      <c r="H950" s="14"/>
    </row>
    <row r="951" spans="1:8" x14ac:dyDescent="0.25">
      <c r="A951" t="s">
        <v>1472</v>
      </c>
      <c r="H951" s="14"/>
    </row>
    <row r="952" spans="1:8" x14ac:dyDescent="0.25">
      <c r="A952" t="s">
        <v>407</v>
      </c>
      <c r="H952" s="14"/>
    </row>
    <row r="953" spans="1:8" x14ac:dyDescent="0.25">
      <c r="A953" t="s">
        <v>1473</v>
      </c>
      <c r="H953" s="14"/>
    </row>
    <row r="954" spans="1:8" x14ac:dyDescent="0.25">
      <c r="A954" t="s">
        <v>1474</v>
      </c>
      <c r="H954" s="14"/>
    </row>
    <row r="955" spans="1:8" x14ac:dyDescent="0.25">
      <c r="A955" t="s">
        <v>1475</v>
      </c>
      <c r="H955" s="14"/>
    </row>
    <row r="956" spans="1:8" x14ac:dyDescent="0.25">
      <c r="A956" t="s">
        <v>408</v>
      </c>
      <c r="H956" s="14"/>
    </row>
    <row r="957" spans="1:8" x14ac:dyDescent="0.25">
      <c r="A957" t="s">
        <v>1476</v>
      </c>
      <c r="H957" s="14"/>
    </row>
    <row r="958" spans="1:8" x14ac:dyDescent="0.25">
      <c r="A958" t="s">
        <v>409</v>
      </c>
      <c r="H958" s="14"/>
    </row>
    <row r="959" spans="1:8" x14ac:dyDescent="0.25">
      <c r="A959" t="s">
        <v>1477</v>
      </c>
      <c r="H959" s="14"/>
    </row>
    <row r="960" spans="1:8" x14ac:dyDescent="0.25">
      <c r="A960" t="s">
        <v>410</v>
      </c>
      <c r="H960" s="14"/>
    </row>
    <row r="961" spans="1:8" x14ac:dyDescent="0.25">
      <c r="A961" t="s">
        <v>1478</v>
      </c>
      <c r="H961" s="14"/>
    </row>
    <row r="962" spans="1:8" x14ac:dyDescent="0.25">
      <c r="A962" t="s">
        <v>411</v>
      </c>
      <c r="H962" s="14"/>
    </row>
    <row r="963" spans="1:8" x14ac:dyDescent="0.25">
      <c r="A963" t="s">
        <v>412</v>
      </c>
      <c r="H963" s="14"/>
    </row>
    <row r="964" spans="1:8" x14ac:dyDescent="0.25">
      <c r="A964" t="s">
        <v>413</v>
      </c>
      <c r="H964" s="14"/>
    </row>
    <row r="965" spans="1:8" x14ac:dyDescent="0.25">
      <c r="A965" t="s">
        <v>1479</v>
      </c>
      <c r="H965" s="14"/>
    </row>
    <row r="966" spans="1:8" x14ac:dyDescent="0.25">
      <c r="A966" t="s">
        <v>1480</v>
      </c>
      <c r="H966" s="14"/>
    </row>
    <row r="967" spans="1:8" x14ac:dyDescent="0.25">
      <c r="A967" t="s">
        <v>1481</v>
      </c>
      <c r="H967" s="14"/>
    </row>
    <row r="968" spans="1:8" x14ac:dyDescent="0.25">
      <c r="A968" t="s">
        <v>414</v>
      </c>
      <c r="H968" s="14"/>
    </row>
    <row r="969" spans="1:8" x14ac:dyDescent="0.25">
      <c r="A969" t="s">
        <v>1482</v>
      </c>
      <c r="H969" s="14"/>
    </row>
    <row r="970" spans="1:8" x14ac:dyDescent="0.25">
      <c r="A970" t="s">
        <v>1483</v>
      </c>
      <c r="H970" s="14"/>
    </row>
    <row r="971" spans="1:8" x14ac:dyDescent="0.25">
      <c r="A971" t="s">
        <v>415</v>
      </c>
      <c r="H971" s="14"/>
    </row>
    <row r="972" spans="1:8" x14ac:dyDescent="0.25">
      <c r="A972" t="s">
        <v>1484</v>
      </c>
      <c r="H972" s="14"/>
    </row>
    <row r="973" spans="1:8" x14ac:dyDescent="0.25">
      <c r="A973" t="s">
        <v>1485</v>
      </c>
      <c r="H973" s="14"/>
    </row>
    <row r="974" spans="1:8" x14ac:dyDescent="0.25">
      <c r="A974" t="s">
        <v>416</v>
      </c>
      <c r="H974" s="14"/>
    </row>
    <row r="975" spans="1:8" x14ac:dyDescent="0.25">
      <c r="A975" t="s">
        <v>417</v>
      </c>
      <c r="H975" s="14"/>
    </row>
    <row r="976" spans="1:8" x14ac:dyDescent="0.25">
      <c r="A976" t="s">
        <v>1486</v>
      </c>
      <c r="H976" s="14"/>
    </row>
    <row r="977" spans="1:8" x14ac:dyDescent="0.25">
      <c r="A977" t="s">
        <v>418</v>
      </c>
      <c r="H977" s="14"/>
    </row>
    <row r="978" spans="1:8" x14ac:dyDescent="0.25">
      <c r="A978" t="s">
        <v>1487</v>
      </c>
      <c r="H978" s="14"/>
    </row>
    <row r="979" spans="1:8" x14ac:dyDescent="0.25">
      <c r="A979" t="s">
        <v>1488</v>
      </c>
      <c r="H979" s="14"/>
    </row>
    <row r="980" spans="1:8" x14ac:dyDescent="0.25">
      <c r="A980" t="s">
        <v>1489</v>
      </c>
      <c r="H980" s="14"/>
    </row>
    <row r="981" spans="1:8" x14ac:dyDescent="0.25">
      <c r="A981" t="s">
        <v>419</v>
      </c>
      <c r="H981" s="14"/>
    </row>
    <row r="982" spans="1:8" x14ac:dyDescent="0.25">
      <c r="A982" t="s">
        <v>420</v>
      </c>
      <c r="H982" s="14"/>
    </row>
    <row r="983" spans="1:8" x14ac:dyDescent="0.25">
      <c r="A983" t="s">
        <v>421</v>
      </c>
      <c r="H983" s="14"/>
    </row>
    <row r="984" spans="1:8" x14ac:dyDescent="0.25">
      <c r="A984" t="s">
        <v>422</v>
      </c>
      <c r="H984" s="14"/>
    </row>
    <row r="985" spans="1:8" x14ac:dyDescent="0.25">
      <c r="A985" t="s">
        <v>2036</v>
      </c>
      <c r="H985" s="14"/>
    </row>
    <row r="986" spans="1:8" x14ac:dyDescent="0.25">
      <c r="A986" t="s">
        <v>423</v>
      </c>
      <c r="H986" s="14"/>
    </row>
    <row r="987" spans="1:8" x14ac:dyDescent="0.25">
      <c r="A987" t="s">
        <v>424</v>
      </c>
      <c r="H987" s="14"/>
    </row>
    <row r="988" spans="1:8" x14ac:dyDescent="0.25">
      <c r="A988" t="s">
        <v>1490</v>
      </c>
      <c r="H988" s="14"/>
    </row>
    <row r="989" spans="1:8" x14ac:dyDescent="0.25">
      <c r="A989" t="s">
        <v>1491</v>
      </c>
      <c r="H989" s="14"/>
    </row>
    <row r="990" spans="1:8" x14ac:dyDescent="0.25">
      <c r="A990" t="s">
        <v>425</v>
      </c>
      <c r="H990" s="14"/>
    </row>
    <row r="991" spans="1:8" x14ac:dyDescent="0.25">
      <c r="A991" t="s">
        <v>1492</v>
      </c>
      <c r="H991" s="14"/>
    </row>
    <row r="992" spans="1:8" x14ac:dyDescent="0.25">
      <c r="A992" t="s">
        <v>1493</v>
      </c>
      <c r="H992" s="14"/>
    </row>
    <row r="993" spans="1:8" x14ac:dyDescent="0.25">
      <c r="A993" t="s">
        <v>1494</v>
      </c>
      <c r="H993" s="14"/>
    </row>
    <row r="994" spans="1:8" x14ac:dyDescent="0.25">
      <c r="A994" t="s">
        <v>426</v>
      </c>
      <c r="H994" s="14"/>
    </row>
    <row r="995" spans="1:8" x14ac:dyDescent="0.25">
      <c r="A995" t="s">
        <v>1495</v>
      </c>
      <c r="H995" s="14"/>
    </row>
    <row r="996" spans="1:8" x14ac:dyDescent="0.25">
      <c r="A996" t="s">
        <v>427</v>
      </c>
      <c r="H996" s="14"/>
    </row>
    <row r="997" spans="1:8" x14ac:dyDescent="0.25">
      <c r="A997" t="s">
        <v>1496</v>
      </c>
      <c r="H997" s="14"/>
    </row>
    <row r="998" spans="1:8" x14ac:dyDescent="0.25">
      <c r="A998" t="s">
        <v>428</v>
      </c>
      <c r="H998" s="14"/>
    </row>
    <row r="999" spans="1:8" x14ac:dyDescent="0.25">
      <c r="A999" t="s">
        <v>429</v>
      </c>
      <c r="H999" s="14"/>
    </row>
    <row r="1000" spans="1:8" x14ac:dyDescent="0.25">
      <c r="A1000" t="s">
        <v>430</v>
      </c>
      <c r="H1000" s="14"/>
    </row>
    <row r="1001" spans="1:8" x14ac:dyDescent="0.25">
      <c r="A1001" t="s">
        <v>431</v>
      </c>
      <c r="H1001" s="14"/>
    </row>
    <row r="1002" spans="1:8" x14ac:dyDescent="0.25">
      <c r="A1002" t="s">
        <v>432</v>
      </c>
      <c r="H1002" s="14"/>
    </row>
    <row r="1003" spans="1:8" x14ac:dyDescent="0.25">
      <c r="A1003" t="s">
        <v>433</v>
      </c>
      <c r="H1003" s="14"/>
    </row>
    <row r="1004" spans="1:8" x14ac:dyDescent="0.25">
      <c r="A1004" t="s">
        <v>1497</v>
      </c>
      <c r="H1004" s="14"/>
    </row>
    <row r="1005" spans="1:8" x14ac:dyDescent="0.25">
      <c r="A1005" t="s">
        <v>434</v>
      </c>
      <c r="H1005" s="14"/>
    </row>
    <row r="1006" spans="1:8" x14ac:dyDescent="0.25">
      <c r="A1006" t="s">
        <v>1498</v>
      </c>
      <c r="H1006" s="14"/>
    </row>
    <row r="1007" spans="1:8" x14ac:dyDescent="0.25">
      <c r="A1007" t="s">
        <v>435</v>
      </c>
      <c r="H1007" s="14"/>
    </row>
    <row r="1008" spans="1:8" x14ac:dyDescent="0.25">
      <c r="A1008" t="s">
        <v>436</v>
      </c>
      <c r="H1008" s="14"/>
    </row>
    <row r="1009" spans="1:8" x14ac:dyDescent="0.25">
      <c r="A1009" t="s">
        <v>1499</v>
      </c>
      <c r="H1009" s="14"/>
    </row>
    <row r="1010" spans="1:8" x14ac:dyDescent="0.25">
      <c r="A1010" t="s">
        <v>1500</v>
      </c>
      <c r="H1010" s="14"/>
    </row>
    <row r="1011" spans="1:8" x14ac:dyDescent="0.25">
      <c r="A1011" t="s">
        <v>437</v>
      </c>
      <c r="H1011" s="14"/>
    </row>
    <row r="1012" spans="1:8" x14ac:dyDescent="0.25">
      <c r="A1012" t="s">
        <v>1501</v>
      </c>
      <c r="H1012" s="14"/>
    </row>
    <row r="1013" spans="1:8" x14ac:dyDescent="0.25">
      <c r="A1013" t="s">
        <v>1502</v>
      </c>
      <c r="H1013" s="14"/>
    </row>
    <row r="1014" spans="1:8" x14ac:dyDescent="0.25">
      <c r="A1014" t="s">
        <v>1503</v>
      </c>
      <c r="H1014" s="14"/>
    </row>
    <row r="1015" spans="1:8" x14ac:dyDescent="0.25">
      <c r="A1015" t="s">
        <v>438</v>
      </c>
      <c r="H1015" s="14"/>
    </row>
    <row r="1016" spans="1:8" x14ac:dyDescent="0.25">
      <c r="A1016" t="s">
        <v>1504</v>
      </c>
      <c r="H1016" s="14"/>
    </row>
    <row r="1017" spans="1:8" x14ac:dyDescent="0.25">
      <c r="A1017" t="s">
        <v>439</v>
      </c>
      <c r="H1017" s="14"/>
    </row>
    <row r="1018" spans="1:8" x14ac:dyDescent="0.25">
      <c r="A1018" t="s">
        <v>1505</v>
      </c>
      <c r="H1018" s="14"/>
    </row>
    <row r="1019" spans="1:8" x14ac:dyDescent="0.25">
      <c r="A1019" t="s">
        <v>440</v>
      </c>
      <c r="H1019" s="14"/>
    </row>
    <row r="1020" spans="1:8" x14ac:dyDescent="0.25">
      <c r="A1020" t="s">
        <v>1506</v>
      </c>
      <c r="H1020" s="14"/>
    </row>
    <row r="1021" spans="1:8" x14ac:dyDescent="0.25">
      <c r="A1021" t="s">
        <v>441</v>
      </c>
      <c r="H1021" s="14"/>
    </row>
    <row r="1022" spans="1:8" x14ac:dyDescent="0.25">
      <c r="A1022" t="s">
        <v>442</v>
      </c>
      <c r="H1022" s="14"/>
    </row>
    <row r="1023" spans="1:8" x14ac:dyDescent="0.25">
      <c r="A1023" t="s">
        <v>443</v>
      </c>
      <c r="H1023" s="14"/>
    </row>
    <row r="1024" spans="1:8" x14ac:dyDescent="0.25">
      <c r="A1024" t="s">
        <v>1507</v>
      </c>
      <c r="H1024" s="14"/>
    </row>
    <row r="1025" spans="1:8" x14ac:dyDescent="0.25">
      <c r="A1025" t="s">
        <v>1508</v>
      </c>
      <c r="H1025" s="14"/>
    </row>
    <row r="1026" spans="1:8" x14ac:dyDescent="0.25">
      <c r="A1026" t="s">
        <v>1509</v>
      </c>
      <c r="H1026" s="14"/>
    </row>
    <row r="1027" spans="1:8" x14ac:dyDescent="0.25">
      <c r="A1027" t="s">
        <v>444</v>
      </c>
      <c r="H1027" s="14"/>
    </row>
    <row r="1028" spans="1:8" x14ac:dyDescent="0.25">
      <c r="A1028" t="s">
        <v>1510</v>
      </c>
      <c r="H1028" s="14"/>
    </row>
    <row r="1029" spans="1:8" x14ac:dyDescent="0.25">
      <c r="A1029" t="s">
        <v>1511</v>
      </c>
      <c r="H1029" s="14"/>
    </row>
    <row r="1030" spans="1:8" x14ac:dyDescent="0.25">
      <c r="A1030" t="s">
        <v>445</v>
      </c>
      <c r="H1030" s="14"/>
    </row>
    <row r="1031" spans="1:8" x14ac:dyDescent="0.25">
      <c r="A1031" t="s">
        <v>1512</v>
      </c>
      <c r="H1031" s="14"/>
    </row>
    <row r="1032" spans="1:8" x14ac:dyDescent="0.25">
      <c r="A1032" t="s">
        <v>1513</v>
      </c>
      <c r="H1032" s="14"/>
    </row>
    <row r="1033" spans="1:8" x14ac:dyDescent="0.25">
      <c r="A1033" t="s">
        <v>446</v>
      </c>
      <c r="H1033" s="14"/>
    </row>
    <row r="1034" spans="1:8" x14ac:dyDescent="0.25">
      <c r="A1034" t="s">
        <v>447</v>
      </c>
      <c r="H1034" s="14"/>
    </row>
    <row r="1035" spans="1:8" x14ac:dyDescent="0.25">
      <c r="A1035" t="s">
        <v>1514</v>
      </c>
      <c r="H1035" s="14"/>
    </row>
    <row r="1036" spans="1:8" x14ac:dyDescent="0.25">
      <c r="A1036" t="s">
        <v>448</v>
      </c>
      <c r="H1036" s="14"/>
    </row>
    <row r="1037" spans="1:8" x14ac:dyDescent="0.25">
      <c r="A1037" t="s">
        <v>1515</v>
      </c>
      <c r="H1037" s="14"/>
    </row>
    <row r="1038" spans="1:8" x14ac:dyDescent="0.25">
      <c r="A1038" t="s">
        <v>1516</v>
      </c>
      <c r="H1038" s="14"/>
    </row>
    <row r="1039" spans="1:8" x14ac:dyDescent="0.25">
      <c r="A1039" t="s">
        <v>1517</v>
      </c>
      <c r="H1039" s="14"/>
    </row>
    <row r="1040" spans="1:8" x14ac:dyDescent="0.25">
      <c r="A1040" t="s">
        <v>449</v>
      </c>
      <c r="H1040" s="14"/>
    </row>
    <row r="1041" spans="1:8" x14ac:dyDescent="0.25">
      <c r="A1041" t="s">
        <v>450</v>
      </c>
      <c r="H1041" s="14"/>
    </row>
    <row r="1042" spans="1:8" x14ac:dyDescent="0.25">
      <c r="A1042" t="s">
        <v>451</v>
      </c>
      <c r="H1042" s="14"/>
    </row>
    <row r="1043" spans="1:8" x14ac:dyDescent="0.25">
      <c r="A1043" t="s">
        <v>452</v>
      </c>
      <c r="H1043" s="14"/>
    </row>
    <row r="1044" spans="1:8" x14ac:dyDescent="0.25">
      <c r="A1044" t="s">
        <v>2037</v>
      </c>
      <c r="H1044" s="14"/>
    </row>
    <row r="1045" spans="1:8" x14ac:dyDescent="0.25">
      <c r="A1045" t="s">
        <v>453</v>
      </c>
      <c r="H1045" s="14"/>
    </row>
    <row r="1046" spans="1:8" x14ac:dyDescent="0.25">
      <c r="A1046" t="s">
        <v>454</v>
      </c>
      <c r="H1046" s="14"/>
    </row>
    <row r="1047" spans="1:8" x14ac:dyDescent="0.25">
      <c r="A1047" t="s">
        <v>1518</v>
      </c>
      <c r="H1047" s="14"/>
    </row>
    <row r="1048" spans="1:8" x14ac:dyDescent="0.25">
      <c r="A1048" t="s">
        <v>1519</v>
      </c>
      <c r="H1048" s="14"/>
    </row>
    <row r="1049" spans="1:8" x14ac:dyDescent="0.25">
      <c r="A1049" t="s">
        <v>455</v>
      </c>
      <c r="H1049" s="14"/>
    </row>
    <row r="1050" spans="1:8" x14ac:dyDescent="0.25">
      <c r="A1050" t="s">
        <v>1520</v>
      </c>
      <c r="H1050" s="14"/>
    </row>
    <row r="1051" spans="1:8" x14ac:dyDescent="0.25">
      <c r="A1051" t="s">
        <v>1521</v>
      </c>
      <c r="H1051" s="14"/>
    </row>
    <row r="1052" spans="1:8" x14ac:dyDescent="0.25">
      <c r="A1052" t="s">
        <v>1522</v>
      </c>
      <c r="H1052" s="14"/>
    </row>
    <row r="1053" spans="1:8" x14ac:dyDescent="0.25">
      <c r="A1053" t="s">
        <v>456</v>
      </c>
      <c r="H1053" s="14"/>
    </row>
    <row r="1054" spans="1:8" x14ac:dyDescent="0.25">
      <c r="A1054" t="s">
        <v>1523</v>
      </c>
      <c r="H1054" s="14"/>
    </row>
    <row r="1055" spans="1:8" x14ac:dyDescent="0.25">
      <c r="A1055" t="s">
        <v>457</v>
      </c>
      <c r="H1055" s="14"/>
    </row>
    <row r="1056" spans="1:8" x14ac:dyDescent="0.25">
      <c r="A1056" t="s">
        <v>1524</v>
      </c>
      <c r="H1056" s="14"/>
    </row>
    <row r="1057" spans="1:8" x14ac:dyDescent="0.25">
      <c r="A1057" t="s">
        <v>458</v>
      </c>
      <c r="H1057" s="14"/>
    </row>
    <row r="1058" spans="1:8" x14ac:dyDescent="0.25">
      <c r="A1058" t="s">
        <v>459</v>
      </c>
      <c r="H1058" s="14"/>
    </row>
    <row r="1059" spans="1:8" x14ac:dyDescent="0.25">
      <c r="A1059" t="s">
        <v>460</v>
      </c>
      <c r="H1059" s="14"/>
    </row>
    <row r="1060" spans="1:8" x14ac:dyDescent="0.25">
      <c r="A1060" t="s">
        <v>461</v>
      </c>
      <c r="H1060" s="14"/>
    </row>
    <row r="1061" spans="1:8" x14ac:dyDescent="0.25">
      <c r="A1061" t="s">
        <v>462</v>
      </c>
      <c r="H1061" s="14"/>
    </row>
    <row r="1062" spans="1:8" x14ac:dyDescent="0.25">
      <c r="A1062" t="s">
        <v>463</v>
      </c>
      <c r="H1062" s="14"/>
    </row>
    <row r="1063" spans="1:8" x14ac:dyDescent="0.25">
      <c r="A1063" t="s">
        <v>1525</v>
      </c>
      <c r="H1063" s="14"/>
    </row>
    <row r="1064" spans="1:8" x14ac:dyDescent="0.25">
      <c r="A1064" t="s">
        <v>464</v>
      </c>
      <c r="H1064" s="14"/>
    </row>
    <row r="1065" spans="1:8" x14ac:dyDescent="0.25">
      <c r="A1065" t="s">
        <v>1526</v>
      </c>
      <c r="H1065" s="14"/>
    </row>
    <row r="1066" spans="1:8" x14ac:dyDescent="0.25">
      <c r="A1066" t="s">
        <v>465</v>
      </c>
      <c r="H1066" s="14"/>
    </row>
    <row r="1067" spans="1:8" x14ac:dyDescent="0.25">
      <c r="A1067" t="s">
        <v>466</v>
      </c>
      <c r="H1067" s="14"/>
    </row>
    <row r="1068" spans="1:8" x14ac:dyDescent="0.25">
      <c r="A1068" t="s">
        <v>1527</v>
      </c>
      <c r="H1068" s="14"/>
    </row>
    <row r="1069" spans="1:8" x14ac:dyDescent="0.25">
      <c r="A1069" t="s">
        <v>1528</v>
      </c>
      <c r="H1069" s="14"/>
    </row>
    <row r="1070" spans="1:8" x14ac:dyDescent="0.25">
      <c r="A1070" t="s">
        <v>467</v>
      </c>
      <c r="H1070" s="14"/>
    </row>
    <row r="1071" spans="1:8" x14ac:dyDescent="0.25">
      <c r="A1071" t="s">
        <v>1529</v>
      </c>
      <c r="H1071" s="14"/>
    </row>
    <row r="1072" spans="1:8" x14ac:dyDescent="0.25">
      <c r="A1072" t="s">
        <v>1530</v>
      </c>
      <c r="H1072" s="14"/>
    </row>
    <row r="1073" spans="1:8" x14ac:dyDescent="0.25">
      <c r="A1073" t="s">
        <v>1531</v>
      </c>
      <c r="H1073" s="14"/>
    </row>
    <row r="1074" spans="1:8" x14ac:dyDescent="0.25">
      <c r="A1074" t="s">
        <v>468</v>
      </c>
      <c r="H1074" s="14"/>
    </row>
    <row r="1075" spans="1:8" x14ac:dyDescent="0.25">
      <c r="A1075" t="s">
        <v>1532</v>
      </c>
      <c r="H1075" s="14"/>
    </row>
    <row r="1076" spans="1:8" x14ac:dyDescent="0.25">
      <c r="A1076" t="s">
        <v>469</v>
      </c>
      <c r="H1076" s="14"/>
    </row>
    <row r="1077" spans="1:8" x14ac:dyDescent="0.25">
      <c r="A1077" t="s">
        <v>1533</v>
      </c>
      <c r="H1077" s="14"/>
    </row>
    <row r="1078" spans="1:8" x14ac:dyDescent="0.25">
      <c r="A1078" t="s">
        <v>470</v>
      </c>
      <c r="H1078" s="14"/>
    </row>
    <row r="1079" spans="1:8" x14ac:dyDescent="0.25">
      <c r="A1079" t="s">
        <v>1534</v>
      </c>
      <c r="H1079" s="14"/>
    </row>
    <row r="1080" spans="1:8" x14ac:dyDescent="0.25">
      <c r="A1080" t="s">
        <v>471</v>
      </c>
      <c r="H1080" s="14"/>
    </row>
    <row r="1081" spans="1:8" x14ac:dyDescent="0.25">
      <c r="A1081" t="s">
        <v>472</v>
      </c>
      <c r="H1081" s="14"/>
    </row>
    <row r="1082" spans="1:8" x14ac:dyDescent="0.25">
      <c r="A1082" t="s">
        <v>473</v>
      </c>
      <c r="H1082" s="14"/>
    </row>
    <row r="1083" spans="1:8" x14ac:dyDescent="0.25">
      <c r="A1083" t="s">
        <v>1535</v>
      </c>
      <c r="H1083" s="14"/>
    </row>
    <row r="1084" spans="1:8" x14ac:dyDescent="0.25">
      <c r="A1084" t="s">
        <v>1536</v>
      </c>
      <c r="H1084" s="14"/>
    </row>
    <row r="1085" spans="1:8" x14ac:dyDescent="0.25">
      <c r="A1085" t="s">
        <v>1537</v>
      </c>
      <c r="H1085" s="14"/>
    </row>
    <row r="1086" spans="1:8" x14ac:dyDescent="0.25">
      <c r="A1086" t="s">
        <v>474</v>
      </c>
      <c r="H1086" s="14"/>
    </row>
    <row r="1087" spans="1:8" x14ac:dyDescent="0.25">
      <c r="A1087" t="s">
        <v>1538</v>
      </c>
      <c r="H1087" s="14"/>
    </row>
    <row r="1088" spans="1:8" x14ac:dyDescent="0.25">
      <c r="A1088" t="s">
        <v>1539</v>
      </c>
      <c r="H1088" s="14"/>
    </row>
    <row r="1089" spans="1:8" x14ac:dyDescent="0.25">
      <c r="A1089" t="s">
        <v>475</v>
      </c>
      <c r="H1089" s="14"/>
    </row>
    <row r="1090" spans="1:8" x14ac:dyDescent="0.25">
      <c r="A1090" t="s">
        <v>1540</v>
      </c>
      <c r="H1090" s="14"/>
    </row>
    <row r="1091" spans="1:8" x14ac:dyDescent="0.25">
      <c r="A1091" t="s">
        <v>1541</v>
      </c>
      <c r="H1091" s="14"/>
    </row>
    <row r="1092" spans="1:8" x14ac:dyDescent="0.25">
      <c r="A1092" t="s">
        <v>476</v>
      </c>
      <c r="H1092" s="14"/>
    </row>
    <row r="1093" spans="1:8" x14ac:dyDescent="0.25">
      <c r="A1093" t="s">
        <v>477</v>
      </c>
      <c r="H1093" s="14"/>
    </row>
    <row r="1094" spans="1:8" x14ac:dyDescent="0.25">
      <c r="A1094" t="s">
        <v>1542</v>
      </c>
      <c r="H1094" s="14"/>
    </row>
    <row r="1095" spans="1:8" x14ac:dyDescent="0.25">
      <c r="A1095" t="s">
        <v>478</v>
      </c>
      <c r="H1095" s="14"/>
    </row>
    <row r="1096" spans="1:8" x14ac:dyDescent="0.25">
      <c r="A1096" t="s">
        <v>1543</v>
      </c>
      <c r="H1096" s="14"/>
    </row>
    <row r="1097" spans="1:8" x14ac:dyDescent="0.25">
      <c r="A1097" t="s">
        <v>1544</v>
      </c>
      <c r="H1097" s="14"/>
    </row>
    <row r="1098" spans="1:8" x14ac:dyDescent="0.25">
      <c r="A1098" t="s">
        <v>1545</v>
      </c>
      <c r="H1098" s="14"/>
    </row>
    <row r="1099" spans="1:8" x14ac:dyDescent="0.25">
      <c r="A1099" t="s">
        <v>479</v>
      </c>
      <c r="H1099" s="14"/>
    </row>
    <row r="1100" spans="1:8" x14ac:dyDescent="0.25">
      <c r="A1100" t="s">
        <v>480</v>
      </c>
      <c r="H1100" s="14"/>
    </row>
    <row r="1101" spans="1:8" x14ac:dyDescent="0.25">
      <c r="A1101" t="s">
        <v>481</v>
      </c>
      <c r="H1101" s="14"/>
    </row>
    <row r="1102" spans="1:8" x14ac:dyDescent="0.25">
      <c r="A1102" t="s">
        <v>482</v>
      </c>
      <c r="H1102" s="14"/>
    </row>
    <row r="1103" spans="1:8" x14ac:dyDescent="0.25">
      <c r="A1103" t="s">
        <v>2038</v>
      </c>
      <c r="H1103" s="14"/>
    </row>
    <row r="1104" spans="1:8" x14ac:dyDescent="0.25">
      <c r="A1104" t="s">
        <v>483</v>
      </c>
      <c r="H1104" s="14"/>
    </row>
    <row r="1105" spans="1:8" x14ac:dyDescent="0.25">
      <c r="A1105" t="s">
        <v>484</v>
      </c>
      <c r="H1105" s="14"/>
    </row>
    <row r="1106" spans="1:8" x14ac:dyDescent="0.25">
      <c r="A1106" t="s">
        <v>1546</v>
      </c>
      <c r="H1106" s="14"/>
    </row>
    <row r="1107" spans="1:8" x14ac:dyDescent="0.25">
      <c r="A1107" t="s">
        <v>1547</v>
      </c>
      <c r="H1107" s="14"/>
    </row>
    <row r="1108" spans="1:8" x14ac:dyDescent="0.25">
      <c r="A1108" t="s">
        <v>485</v>
      </c>
      <c r="H1108" s="14"/>
    </row>
    <row r="1109" spans="1:8" x14ac:dyDescent="0.25">
      <c r="A1109" t="s">
        <v>1548</v>
      </c>
      <c r="H1109" s="14"/>
    </row>
    <row r="1110" spans="1:8" x14ac:dyDescent="0.25">
      <c r="A1110" t="s">
        <v>1549</v>
      </c>
      <c r="H1110" s="14"/>
    </row>
    <row r="1111" spans="1:8" x14ac:dyDescent="0.25">
      <c r="A1111" t="s">
        <v>1550</v>
      </c>
      <c r="H1111" s="14"/>
    </row>
    <row r="1112" spans="1:8" x14ac:dyDescent="0.25">
      <c r="A1112" t="s">
        <v>486</v>
      </c>
      <c r="H1112" s="14"/>
    </row>
    <row r="1113" spans="1:8" x14ac:dyDescent="0.25">
      <c r="A1113" t="s">
        <v>1551</v>
      </c>
      <c r="H1113" s="14"/>
    </row>
    <row r="1114" spans="1:8" x14ac:dyDescent="0.25">
      <c r="A1114" t="s">
        <v>487</v>
      </c>
      <c r="H1114" s="14"/>
    </row>
    <row r="1115" spans="1:8" x14ac:dyDescent="0.25">
      <c r="A1115" t="s">
        <v>1552</v>
      </c>
      <c r="H1115" s="14"/>
    </row>
    <row r="1116" spans="1:8" x14ac:dyDescent="0.25">
      <c r="A1116" t="s">
        <v>488</v>
      </c>
      <c r="H1116" s="14"/>
    </row>
    <row r="1117" spans="1:8" x14ac:dyDescent="0.25">
      <c r="A1117" t="s">
        <v>489</v>
      </c>
      <c r="H1117" s="14"/>
    </row>
    <row r="1118" spans="1:8" x14ac:dyDescent="0.25">
      <c r="A1118" t="s">
        <v>490</v>
      </c>
      <c r="H1118" s="14"/>
    </row>
    <row r="1119" spans="1:8" x14ac:dyDescent="0.25">
      <c r="A1119" t="s">
        <v>491</v>
      </c>
      <c r="H1119" s="14"/>
    </row>
    <row r="1120" spans="1:8" x14ac:dyDescent="0.25">
      <c r="A1120" t="s">
        <v>492</v>
      </c>
      <c r="H1120" s="14"/>
    </row>
    <row r="1121" spans="1:8" x14ac:dyDescent="0.25">
      <c r="A1121" t="s">
        <v>493</v>
      </c>
      <c r="H1121" s="14"/>
    </row>
    <row r="1122" spans="1:8" x14ac:dyDescent="0.25">
      <c r="A1122" t="s">
        <v>1553</v>
      </c>
      <c r="H1122" s="14"/>
    </row>
    <row r="1123" spans="1:8" x14ac:dyDescent="0.25">
      <c r="A1123" t="s">
        <v>494</v>
      </c>
      <c r="H1123" s="14"/>
    </row>
    <row r="1124" spans="1:8" x14ac:dyDescent="0.25">
      <c r="A1124" t="s">
        <v>1554</v>
      </c>
      <c r="H1124" s="14"/>
    </row>
    <row r="1125" spans="1:8" x14ac:dyDescent="0.25">
      <c r="A1125" t="s">
        <v>495</v>
      </c>
      <c r="H1125" s="14"/>
    </row>
    <row r="1126" spans="1:8" x14ac:dyDescent="0.25">
      <c r="A1126" t="s">
        <v>496</v>
      </c>
      <c r="H1126" s="14"/>
    </row>
    <row r="1127" spans="1:8" x14ac:dyDescent="0.25">
      <c r="A1127" t="s">
        <v>1555</v>
      </c>
      <c r="H1127" s="14"/>
    </row>
    <row r="1128" spans="1:8" x14ac:dyDescent="0.25">
      <c r="A1128" t="s">
        <v>1556</v>
      </c>
      <c r="H1128" s="14"/>
    </row>
    <row r="1129" spans="1:8" x14ac:dyDescent="0.25">
      <c r="A1129" t="s">
        <v>497</v>
      </c>
      <c r="H1129" s="14"/>
    </row>
    <row r="1130" spans="1:8" x14ac:dyDescent="0.25">
      <c r="A1130" t="s">
        <v>1557</v>
      </c>
      <c r="H1130" s="14"/>
    </row>
    <row r="1131" spans="1:8" x14ac:dyDescent="0.25">
      <c r="A1131" t="s">
        <v>1558</v>
      </c>
      <c r="H1131" s="14"/>
    </row>
    <row r="1132" spans="1:8" x14ac:dyDescent="0.25">
      <c r="A1132" t="s">
        <v>1559</v>
      </c>
      <c r="H1132" s="14"/>
    </row>
    <row r="1133" spans="1:8" x14ac:dyDescent="0.25">
      <c r="A1133" t="s">
        <v>498</v>
      </c>
      <c r="H1133" s="14"/>
    </row>
    <row r="1134" spans="1:8" x14ac:dyDescent="0.25">
      <c r="A1134" t="s">
        <v>1560</v>
      </c>
      <c r="H1134" s="14"/>
    </row>
    <row r="1135" spans="1:8" x14ac:dyDescent="0.25">
      <c r="A1135" t="s">
        <v>499</v>
      </c>
      <c r="H1135" s="14"/>
    </row>
    <row r="1136" spans="1:8" x14ac:dyDescent="0.25">
      <c r="A1136" t="s">
        <v>1561</v>
      </c>
      <c r="H1136" s="14"/>
    </row>
    <row r="1137" spans="1:8" x14ac:dyDescent="0.25">
      <c r="A1137" t="s">
        <v>500</v>
      </c>
      <c r="H1137" s="14"/>
    </row>
    <row r="1138" spans="1:8" x14ac:dyDescent="0.25">
      <c r="A1138" t="s">
        <v>1562</v>
      </c>
      <c r="H1138" s="14"/>
    </row>
    <row r="1139" spans="1:8" x14ac:dyDescent="0.25">
      <c r="A1139" t="s">
        <v>501</v>
      </c>
      <c r="H1139" s="14"/>
    </row>
    <row r="1140" spans="1:8" x14ac:dyDescent="0.25">
      <c r="A1140" t="s">
        <v>502</v>
      </c>
      <c r="H1140" s="14"/>
    </row>
    <row r="1141" spans="1:8" x14ac:dyDescent="0.25">
      <c r="A1141" t="s">
        <v>503</v>
      </c>
      <c r="H1141" s="14"/>
    </row>
    <row r="1142" spans="1:8" x14ac:dyDescent="0.25">
      <c r="A1142" t="s">
        <v>1563</v>
      </c>
      <c r="H1142" s="14"/>
    </row>
    <row r="1143" spans="1:8" x14ac:dyDescent="0.25">
      <c r="A1143" t="s">
        <v>1564</v>
      </c>
      <c r="H1143" s="14"/>
    </row>
    <row r="1144" spans="1:8" x14ac:dyDescent="0.25">
      <c r="A1144" t="s">
        <v>1565</v>
      </c>
      <c r="H1144" s="14"/>
    </row>
    <row r="1145" spans="1:8" x14ac:dyDescent="0.25">
      <c r="A1145" t="s">
        <v>504</v>
      </c>
      <c r="H1145" s="14"/>
    </row>
    <row r="1146" spans="1:8" x14ac:dyDescent="0.25">
      <c r="A1146" t="s">
        <v>1566</v>
      </c>
      <c r="H1146" s="14"/>
    </row>
    <row r="1147" spans="1:8" x14ac:dyDescent="0.25">
      <c r="A1147" t="s">
        <v>1567</v>
      </c>
      <c r="H1147" s="14"/>
    </row>
    <row r="1148" spans="1:8" x14ac:dyDescent="0.25">
      <c r="A1148" t="s">
        <v>505</v>
      </c>
      <c r="H1148" s="14"/>
    </row>
    <row r="1149" spans="1:8" x14ac:dyDescent="0.25">
      <c r="A1149" t="s">
        <v>1568</v>
      </c>
      <c r="H1149" s="14"/>
    </row>
    <row r="1150" spans="1:8" x14ac:dyDescent="0.25">
      <c r="A1150" t="s">
        <v>1569</v>
      </c>
      <c r="H1150" s="14"/>
    </row>
    <row r="1151" spans="1:8" x14ac:dyDescent="0.25">
      <c r="A1151" t="s">
        <v>506</v>
      </c>
      <c r="H1151" s="14"/>
    </row>
    <row r="1152" spans="1:8" x14ac:dyDescent="0.25">
      <c r="A1152" t="s">
        <v>507</v>
      </c>
      <c r="H1152" s="14"/>
    </row>
    <row r="1153" spans="1:8" x14ac:dyDescent="0.25">
      <c r="A1153" t="s">
        <v>1570</v>
      </c>
      <c r="H1153" s="14"/>
    </row>
    <row r="1154" spans="1:8" x14ac:dyDescent="0.25">
      <c r="A1154" t="s">
        <v>508</v>
      </c>
      <c r="H1154" s="14"/>
    </row>
    <row r="1155" spans="1:8" x14ac:dyDescent="0.25">
      <c r="A1155" t="s">
        <v>1571</v>
      </c>
      <c r="H1155" s="14"/>
    </row>
    <row r="1156" spans="1:8" x14ac:dyDescent="0.25">
      <c r="A1156" t="s">
        <v>1572</v>
      </c>
      <c r="H1156" s="14"/>
    </row>
    <row r="1157" spans="1:8" x14ac:dyDescent="0.25">
      <c r="A1157" t="s">
        <v>1573</v>
      </c>
      <c r="H1157" s="14"/>
    </row>
    <row r="1158" spans="1:8" x14ac:dyDescent="0.25">
      <c r="A1158" t="s">
        <v>509</v>
      </c>
      <c r="H1158" s="14"/>
    </row>
    <row r="1159" spans="1:8" x14ac:dyDescent="0.25">
      <c r="A1159" t="s">
        <v>510</v>
      </c>
      <c r="H1159" s="14"/>
    </row>
    <row r="1160" spans="1:8" x14ac:dyDescent="0.25">
      <c r="A1160" t="s">
        <v>511</v>
      </c>
      <c r="H1160" s="14"/>
    </row>
    <row r="1161" spans="1:8" x14ac:dyDescent="0.25">
      <c r="A1161" t="s">
        <v>512</v>
      </c>
      <c r="H1161" s="14"/>
    </row>
    <row r="1162" spans="1:8" x14ac:dyDescent="0.25">
      <c r="A1162" t="s">
        <v>2039</v>
      </c>
      <c r="H1162" s="14"/>
    </row>
    <row r="1163" spans="1:8" x14ac:dyDescent="0.25">
      <c r="A1163" t="s">
        <v>513</v>
      </c>
      <c r="H1163" s="14"/>
    </row>
    <row r="1164" spans="1:8" x14ac:dyDescent="0.25">
      <c r="A1164" t="s">
        <v>514</v>
      </c>
      <c r="H1164" s="14"/>
    </row>
    <row r="1165" spans="1:8" x14ac:dyDescent="0.25">
      <c r="A1165" t="s">
        <v>1574</v>
      </c>
      <c r="H1165" s="14"/>
    </row>
    <row r="1166" spans="1:8" x14ac:dyDescent="0.25">
      <c r="A1166" t="s">
        <v>1575</v>
      </c>
      <c r="H1166" s="14"/>
    </row>
    <row r="1167" spans="1:8" x14ac:dyDescent="0.25">
      <c r="A1167" t="s">
        <v>515</v>
      </c>
      <c r="H1167" s="14"/>
    </row>
    <row r="1168" spans="1:8" x14ac:dyDescent="0.25">
      <c r="A1168" t="s">
        <v>1576</v>
      </c>
      <c r="H1168" s="14"/>
    </row>
    <row r="1169" spans="1:8" x14ac:dyDescent="0.25">
      <c r="A1169" t="s">
        <v>1577</v>
      </c>
      <c r="H1169" s="14"/>
    </row>
    <row r="1170" spans="1:8" x14ac:dyDescent="0.25">
      <c r="A1170" t="s">
        <v>1578</v>
      </c>
      <c r="H1170" s="14"/>
    </row>
    <row r="1171" spans="1:8" x14ac:dyDescent="0.25">
      <c r="A1171" t="s">
        <v>516</v>
      </c>
      <c r="H1171" s="14"/>
    </row>
    <row r="1172" spans="1:8" x14ac:dyDescent="0.25">
      <c r="A1172" t="s">
        <v>1579</v>
      </c>
      <c r="H1172" s="14"/>
    </row>
    <row r="1173" spans="1:8" x14ac:dyDescent="0.25">
      <c r="A1173" t="s">
        <v>517</v>
      </c>
      <c r="H1173" s="14"/>
    </row>
    <row r="1174" spans="1:8" x14ac:dyDescent="0.25">
      <c r="A1174" t="s">
        <v>1580</v>
      </c>
      <c r="H1174" s="14"/>
    </row>
    <row r="1175" spans="1:8" x14ac:dyDescent="0.25">
      <c r="A1175" t="s">
        <v>518</v>
      </c>
      <c r="H1175" s="14"/>
    </row>
    <row r="1176" spans="1:8" x14ac:dyDescent="0.25">
      <c r="A1176" t="s">
        <v>519</v>
      </c>
      <c r="H1176" s="14"/>
    </row>
    <row r="1177" spans="1:8" x14ac:dyDescent="0.25">
      <c r="A1177" t="s">
        <v>520</v>
      </c>
      <c r="H1177" s="14"/>
    </row>
    <row r="1178" spans="1:8" x14ac:dyDescent="0.25">
      <c r="A1178" t="s">
        <v>521</v>
      </c>
      <c r="H1178" s="14"/>
    </row>
    <row r="1179" spans="1:8" x14ac:dyDescent="0.25">
      <c r="A1179" t="s">
        <v>522</v>
      </c>
      <c r="H1179" s="14"/>
    </row>
    <row r="1180" spans="1:8" x14ac:dyDescent="0.25">
      <c r="A1180" t="s">
        <v>523</v>
      </c>
      <c r="H1180" s="14"/>
    </row>
    <row r="1181" spans="1:8" x14ac:dyDescent="0.25">
      <c r="A1181" t="s">
        <v>1581</v>
      </c>
      <c r="H1181" s="14"/>
    </row>
    <row r="1182" spans="1:8" x14ac:dyDescent="0.25">
      <c r="A1182" t="s">
        <v>524</v>
      </c>
      <c r="H1182" s="14"/>
    </row>
    <row r="1183" spans="1:8" x14ac:dyDescent="0.25">
      <c r="A1183" t="s">
        <v>1582</v>
      </c>
      <c r="H1183" s="14"/>
    </row>
    <row r="1184" spans="1:8" x14ac:dyDescent="0.25">
      <c r="A1184" t="s">
        <v>525</v>
      </c>
      <c r="H1184" s="14"/>
    </row>
    <row r="1185" spans="1:8" x14ac:dyDescent="0.25">
      <c r="A1185" t="s">
        <v>526</v>
      </c>
      <c r="H1185" s="14"/>
    </row>
    <row r="1186" spans="1:8" x14ac:dyDescent="0.25">
      <c r="A1186" t="s">
        <v>1583</v>
      </c>
      <c r="H1186" s="14"/>
    </row>
    <row r="1187" spans="1:8" x14ac:dyDescent="0.25">
      <c r="A1187" t="s">
        <v>1584</v>
      </c>
      <c r="H1187" s="14"/>
    </row>
    <row r="1188" spans="1:8" x14ac:dyDescent="0.25">
      <c r="A1188" t="s">
        <v>527</v>
      </c>
      <c r="H1188" s="14"/>
    </row>
    <row r="1189" spans="1:8" x14ac:dyDescent="0.25">
      <c r="A1189" t="s">
        <v>1585</v>
      </c>
      <c r="H1189" s="14"/>
    </row>
    <row r="1190" spans="1:8" x14ac:dyDescent="0.25">
      <c r="A1190" t="s">
        <v>1586</v>
      </c>
      <c r="H1190" s="14"/>
    </row>
    <row r="1191" spans="1:8" x14ac:dyDescent="0.25">
      <c r="A1191" t="s">
        <v>1587</v>
      </c>
      <c r="H1191" s="14"/>
    </row>
    <row r="1192" spans="1:8" x14ac:dyDescent="0.25">
      <c r="A1192" t="s">
        <v>528</v>
      </c>
      <c r="H1192" s="14"/>
    </row>
    <row r="1193" spans="1:8" x14ac:dyDescent="0.25">
      <c r="A1193" t="s">
        <v>1588</v>
      </c>
      <c r="H1193" s="14"/>
    </row>
    <row r="1194" spans="1:8" x14ac:dyDescent="0.25">
      <c r="A1194" t="s">
        <v>529</v>
      </c>
      <c r="H1194" s="14"/>
    </row>
    <row r="1195" spans="1:8" x14ac:dyDescent="0.25">
      <c r="A1195" t="s">
        <v>1589</v>
      </c>
      <c r="H1195" s="14"/>
    </row>
    <row r="1196" spans="1:8" x14ac:dyDescent="0.25">
      <c r="A1196" t="s">
        <v>530</v>
      </c>
      <c r="H1196" s="14"/>
    </row>
    <row r="1197" spans="1:8" x14ac:dyDescent="0.25">
      <c r="A1197" t="s">
        <v>1590</v>
      </c>
      <c r="H1197" s="14"/>
    </row>
    <row r="1198" spans="1:8" x14ac:dyDescent="0.25">
      <c r="A1198" t="s">
        <v>531</v>
      </c>
      <c r="H1198" s="14"/>
    </row>
    <row r="1199" spans="1:8" x14ac:dyDescent="0.25">
      <c r="A1199" t="s">
        <v>532</v>
      </c>
      <c r="H1199" s="14"/>
    </row>
    <row r="1200" spans="1:8" x14ac:dyDescent="0.25">
      <c r="A1200" t="s">
        <v>533</v>
      </c>
      <c r="H1200" s="14"/>
    </row>
    <row r="1201" spans="1:8" x14ac:dyDescent="0.25">
      <c r="A1201" t="s">
        <v>1591</v>
      </c>
      <c r="H1201" s="14"/>
    </row>
    <row r="1202" spans="1:8" x14ac:dyDescent="0.25">
      <c r="A1202" t="s">
        <v>1592</v>
      </c>
      <c r="H1202" s="14"/>
    </row>
    <row r="1203" spans="1:8" x14ac:dyDescent="0.25">
      <c r="A1203" t="s">
        <v>1593</v>
      </c>
      <c r="H1203" s="14"/>
    </row>
    <row r="1204" spans="1:8" x14ac:dyDescent="0.25">
      <c r="A1204" t="s">
        <v>534</v>
      </c>
      <c r="H1204" s="14"/>
    </row>
    <row r="1205" spans="1:8" x14ac:dyDescent="0.25">
      <c r="A1205" t="s">
        <v>1594</v>
      </c>
      <c r="H1205" s="14"/>
    </row>
    <row r="1206" spans="1:8" x14ac:dyDescent="0.25">
      <c r="A1206" t="s">
        <v>1595</v>
      </c>
      <c r="H1206" s="14"/>
    </row>
    <row r="1207" spans="1:8" x14ac:dyDescent="0.25">
      <c r="A1207" t="s">
        <v>535</v>
      </c>
      <c r="H1207" s="14"/>
    </row>
    <row r="1208" spans="1:8" x14ac:dyDescent="0.25">
      <c r="A1208" t="s">
        <v>1596</v>
      </c>
      <c r="H1208" s="14"/>
    </row>
    <row r="1209" spans="1:8" x14ac:dyDescent="0.25">
      <c r="A1209" t="s">
        <v>1597</v>
      </c>
      <c r="H1209" s="14"/>
    </row>
    <row r="1210" spans="1:8" x14ac:dyDescent="0.25">
      <c r="A1210" t="s">
        <v>536</v>
      </c>
      <c r="H1210" s="14"/>
    </row>
    <row r="1211" spans="1:8" x14ac:dyDescent="0.25">
      <c r="A1211" t="s">
        <v>537</v>
      </c>
      <c r="H1211" s="14"/>
    </row>
    <row r="1212" spans="1:8" x14ac:dyDescent="0.25">
      <c r="A1212" t="s">
        <v>1598</v>
      </c>
      <c r="H1212" s="14"/>
    </row>
    <row r="1213" spans="1:8" x14ac:dyDescent="0.25">
      <c r="A1213" t="s">
        <v>538</v>
      </c>
      <c r="H1213" s="14"/>
    </row>
    <row r="1214" spans="1:8" x14ac:dyDescent="0.25">
      <c r="A1214" t="s">
        <v>1599</v>
      </c>
      <c r="H1214" s="14"/>
    </row>
    <row r="1215" spans="1:8" x14ac:dyDescent="0.25">
      <c r="A1215" t="s">
        <v>1600</v>
      </c>
      <c r="H1215" s="14"/>
    </row>
    <row r="1216" spans="1:8" x14ac:dyDescent="0.25">
      <c r="A1216" t="s">
        <v>1601</v>
      </c>
      <c r="H1216" s="14"/>
    </row>
    <row r="1217" spans="1:8" x14ac:dyDescent="0.25">
      <c r="A1217" t="s">
        <v>539</v>
      </c>
      <c r="H1217" s="14"/>
    </row>
    <row r="1218" spans="1:8" x14ac:dyDescent="0.25">
      <c r="A1218" t="s">
        <v>540</v>
      </c>
      <c r="H1218" s="14"/>
    </row>
    <row r="1219" spans="1:8" x14ac:dyDescent="0.25">
      <c r="A1219" t="s">
        <v>541</v>
      </c>
      <c r="H1219" s="14"/>
    </row>
    <row r="1220" spans="1:8" x14ac:dyDescent="0.25">
      <c r="A1220" t="s">
        <v>542</v>
      </c>
      <c r="H1220" s="14"/>
    </row>
    <row r="1221" spans="1:8" x14ac:dyDescent="0.25">
      <c r="A1221" t="s">
        <v>2040</v>
      </c>
      <c r="H1221" s="14"/>
    </row>
    <row r="1222" spans="1:8" x14ac:dyDescent="0.25">
      <c r="A1222" t="s">
        <v>543</v>
      </c>
      <c r="H1222" s="14"/>
    </row>
    <row r="1223" spans="1:8" x14ac:dyDescent="0.25">
      <c r="A1223" t="s">
        <v>544</v>
      </c>
      <c r="H1223" s="14"/>
    </row>
    <row r="1224" spans="1:8" x14ac:dyDescent="0.25">
      <c r="A1224" t="s">
        <v>1602</v>
      </c>
      <c r="H1224" s="14"/>
    </row>
    <row r="1225" spans="1:8" x14ac:dyDescent="0.25">
      <c r="A1225" t="s">
        <v>1603</v>
      </c>
      <c r="H1225" s="14"/>
    </row>
    <row r="1226" spans="1:8" x14ac:dyDescent="0.25">
      <c r="A1226" t="s">
        <v>545</v>
      </c>
      <c r="H1226" s="14"/>
    </row>
    <row r="1227" spans="1:8" x14ac:dyDescent="0.25">
      <c r="A1227" t="s">
        <v>1604</v>
      </c>
      <c r="H1227" s="14"/>
    </row>
    <row r="1228" spans="1:8" x14ac:dyDescent="0.25">
      <c r="A1228" t="s">
        <v>1605</v>
      </c>
      <c r="H1228" s="14"/>
    </row>
    <row r="1229" spans="1:8" x14ac:dyDescent="0.25">
      <c r="A1229" t="s">
        <v>1606</v>
      </c>
      <c r="H1229" s="14"/>
    </row>
    <row r="1230" spans="1:8" x14ac:dyDescent="0.25">
      <c r="A1230" t="s">
        <v>546</v>
      </c>
      <c r="H1230" s="14"/>
    </row>
    <row r="1231" spans="1:8" x14ac:dyDescent="0.25">
      <c r="A1231" t="s">
        <v>1607</v>
      </c>
      <c r="H1231" s="14"/>
    </row>
    <row r="1232" spans="1:8" x14ac:dyDescent="0.25">
      <c r="A1232" t="s">
        <v>547</v>
      </c>
      <c r="H1232" s="14"/>
    </row>
    <row r="1233" spans="1:8" x14ac:dyDescent="0.25">
      <c r="A1233" t="s">
        <v>1608</v>
      </c>
      <c r="H1233" s="14"/>
    </row>
    <row r="1234" spans="1:8" x14ac:dyDescent="0.25">
      <c r="A1234" t="s">
        <v>548</v>
      </c>
      <c r="H1234" s="14"/>
    </row>
    <row r="1235" spans="1:8" x14ac:dyDescent="0.25">
      <c r="A1235" t="s">
        <v>549</v>
      </c>
      <c r="H1235" s="14"/>
    </row>
    <row r="1236" spans="1:8" x14ac:dyDescent="0.25">
      <c r="A1236" t="s">
        <v>550</v>
      </c>
      <c r="H1236" s="14"/>
    </row>
    <row r="1237" spans="1:8" x14ac:dyDescent="0.25">
      <c r="A1237" t="s">
        <v>551</v>
      </c>
      <c r="H1237" s="14"/>
    </row>
    <row r="1238" spans="1:8" x14ac:dyDescent="0.25">
      <c r="A1238" t="s">
        <v>552</v>
      </c>
      <c r="H1238" s="14"/>
    </row>
    <row r="1239" spans="1:8" x14ac:dyDescent="0.25">
      <c r="A1239" t="s">
        <v>553</v>
      </c>
      <c r="H1239" s="14"/>
    </row>
    <row r="1240" spans="1:8" x14ac:dyDescent="0.25">
      <c r="A1240" t="s">
        <v>1609</v>
      </c>
      <c r="H1240" s="14"/>
    </row>
    <row r="1241" spans="1:8" x14ac:dyDescent="0.25">
      <c r="A1241" t="s">
        <v>554</v>
      </c>
      <c r="H1241" s="14"/>
    </row>
    <row r="1242" spans="1:8" x14ac:dyDescent="0.25">
      <c r="A1242" t="s">
        <v>1610</v>
      </c>
      <c r="H1242" s="14"/>
    </row>
    <row r="1243" spans="1:8" x14ac:dyDescent="0.25">
      <c r="A1243" t="s">
        <v>555</v>
      </c>
      <c r="H1243" s="14"/>
    </row>
    <row r="1244" spans="1:8" x14ac:dyDescent="0.25">
      <c r="A1244" t="s">
        <v>556</v>
      </c>
      <c r="H1244" s="14"/>
    </row>
    <row r="1245" spans="1:8" x14ac:dyDescent="0.25">
      <c r="A1245" t="s">
        <v>1611</v>
      </c>
      <c r="H1245" s="14"/>
    </row>
    <row r="1246" spans="1:8" x14ac:dyDescent="0.25">
      <c r="A1246" t="s">
        <v>1612</v>
      </c>
      <c r="H1246" s="14"/>
    </row>
    <row r="1247" spans="1:8" x14ac:dyDescent="0.25">
      <c r="A1247" t="s">
        <v>557</v>
      </c>
      <c r="H1247" s="14"/>
    </row>
    <row r="1248" spans="1:8" x14ac:dyDescent="0.25">
      <c r="A1248" t="s">
        <v>1613</v>
      </c>
      <c r="H1248" s="14"/>
    </row>
    <row r="1249" spans="1:8" x14ac:dyDescent="0.25">
      <c r="A1249" t="s">
        <v>1614</v>
      </c>
      <c r="H1249" s="14"/>
    </row>
    <row r="1250" spans="1:8" x14ac:dyDescent="0.25">
      <c r="A1250" t="s">
        <v>1615</v>
      </c>
      <c r="H1250" s="14"/>
    </row>
    <row r="1251" spans="1:8" x14ac:dyDescent="0.25">
      <c r="A1251" t="s">
        <v>558</v>
      </c>
      <c r="H1251" s="14"/>
    </row>
    <row r="1252" spans="1:8" x14ac:dyDescent="0.25">
      <c r="A1252" t="s">
        <v>1616</v>
      </c>
      <c r="H1252" s="14"/>
    </row>
    <row r="1253" spans="1:8" x14ac:dyDescent="0.25">
      <c r="A1253" t="s">
        <v>559</v>
      </c>
      <c r="H1253" s="14"/>
    </row>
    <row r="1254" spans="1:8" x14ac:dyDescent="0.25">
      <c r="A1254" t="s">
        <v>1617</v>
      </c>
      <c r="H1254" s="14"/>
    </row>
    <row r="1255" spans="1:8" x14ac:dyDescent="0.25">
      <c r="A1255" t="s">
        <v>560</v>
      </c>
      <c r="H1255" s="14"/>
    </row>
    <row r="1256" spans="1:8" x14ac:dyDescent="0.25">
      <c r="A1256" t="s">
        <v>1618</v>
      </c>
      <c r="H1256" s="14"/>
    </row>
    <row r="1257" spans="1:8" x14ac:dyDescent="0.25">
      <c r="A1257" t="s">
        <v>561</v>
      </c>
      <c r="H1257" s="14"/>
    </row>
    <row r="1258" spans="1:8" x14ac:dyDescent="0.25">
      <c r="A1258" t="s">
        <v>562</v>
      </c>
      <c r="H1258" s="14"/>
    </row>
    <row r="1259" spans="1:8" x14ac:dyDescent="0.25">
      <c r="A1259" t="s">
        <v>563</v>
      </c>
      <c r="H1259" s="14"/>
    </row>
    <row r="1260" spans="1:8" x14ac:dyDescent="0.25">
      <c r="A1260" t="s">
        <v>1619</v>
      </c>
      <c r="H1260" s="14"/>
    </row>
    <row r="1261" spans="1:8" x14ac:dyDescent="0.25">
      <c r="A1261" t="s">
        <v>1620</v>
      </c>
      <c r="H1261" s="14"/>
    </row>
    <row r="1262" spans="1:8" x14ac:dyDescent="0.25">
      <c r="A1262" t="s">
        <v>1621</v>
      </c>
      <c r="H1262" s="14"/>
    </row>
    <row r="1263" spans="1:8" x14ac:dyDescent="0.25">
      <c r="A1263" t="s">
        <v>564</v>
      </c>
      <c r="H1263" s="14"/>
    </row>
    <row r="1264" spans="1:8" x14ac:dyDescent="0.25">
      <c r="A1264" t="s">
        <v>1622</v>
      </c>
      <c r="H1264" s="14"/>
    </row>
    <row r="1265" spans="1:8" x14ac:dyDescent="0.25">
      <c r="A1265" t="s">
        <v>1623</v>
      </c>
      <c r="H1265" s="14"/>
    </row>
    <row r="1266" spans="1:8" x14ac:dyDescent="0.25">
      <c r="A1266" t="s">
        <v>565</v>
      </c>
      <c r="H1266" s="14"/>
    </row>
    <row r="1267" spans="1:8" x14ac:dyDescent="0.25">
      <c r="A1267" t="s">
        <v>1624</v>
      </c>
      <c r="H1267" s="14"/>
    </row>
    <row r="1268" spans="1:8" x14ac:dyDescent="0.25">
      <c r="A1268" t="s">
        <v>1625</v>
      </c>
      <c r="H1268" s="14"/>
    </row>
    <row r="1269" spans="1:8" x14ac:dyDescent="0.25">
      <c r="A1269" t="s">
        <v>566</v>
      </c>
      <c r="H1269" s="14"/>
    </row>
    <row r="1270" spans="1:8" x14ac:dyDescent="0.25">
      <c r="A1270" t="s">
        <v>567</v>
      </c>
      <c r="H1270" s="14"/>
    </row>
    <row r="1271" spans="1:8" x14ac:dyDescent="0.25">
      <c r="A1271" t="s">
        <v>1626</v>
      </c>
      <c r="H1271" s="14"/>
    </row>
    <row r="1272" spans="1:8" x14ac:dyDescent="0.25">
      <c r="A1272" t="s">
        <v>568</v>
      </c>
      <c r="H1272" s="14"/>
    </row>
    <row r="1273" spans="1:8" x14ac:dyDescent="0.25">
      <c r="A1273" t="s">
        <v>1627</v>
      </c>
      <c r="H1273" s="14"/>
    </row>
    <row r="1274" spans="1:8" x14ac:dyDescent="0.25">
      <c r="A1274" t="s">
        <v>1628</v>
      </c>
      <c r="H1274" s="14"/>
    </row>
    <row r="1275" spans="1:8" x14ac:dyDescent="0.25">
      <c r="A1275" t="s">
        <v>1629</v>
      </c>
      <c r="H1275" s="14"/>
    </row>
    <row r="1276" spans="1:8" x14ac:dyDescent="0.25">
      <c r="A1276" t="s">
        <v>569</v>
      </c>
      <c r="H1276" s="14"/>
    </row>
    <row r="1277" spans="1:8" x14ac:dyDescent="0.25">
      <c r="A1277" t="s">
        <v>570</v>
      </c>
      <c r="H1277" s="14"/>
    </row>
    <row r="1278" spans="1:8" x14ac:dyDescent="0.25">
      <c r="A1278" t="s">
        <v>571</v>
      </c>
      <c r="H1278" s="14"/>
    </row>
    <row r="1279" spans="1:8" x14ac:dyDescent="0.25">
      <c r="A1279" t="s">
        <v>572</v>
      </c>
      <c r="H1279" s="14"/>
    </row>
    <row r="1280" spans="1:8" x14ac:dyDescent="0.25">
      <c r="A1280" t="s">
        <v>2041</v>
      </c>
      <c r="H1280" s="14"/>
    </row>
    <row r="1281" spans="1:8" x14ac:dyDescent="0.25">
      <c r="A1281" t="s">
        <v>573</v>
      </c>
      <c r="H1281" s="14"/>
    </row>
    <row r="1282" spans="1:8" x14ac:dyDescent="0.25">
      <c r="A1282" t="s">
        <v>574</v>
      </c>
      <c r="H1282" s="14"/>
    </row>
    <row r="1283" spans="1:8" x14ac:dyDescent="0.25">
      <c r="A1283" t="s">
        <v>1630</v>
      </c>
      <c r="H1283" s="14"/>
    </row>
    <row r="1284" spans="1:8" x14ac:dyDescent="0.25">
      <c r="A1284" t="s">
        <v>1631</v>
      </c>
      <c r="H1284" s="14"/>
    </row>
    <row r="1285" spans="1:8" x14ac:dyDescent="0.25">
      <c r="A1285" t="s">
        <v>575</v>
      </c>
      <c r="H1285" s="14"/>
    </row>
    <row r="1286" spans="1:8" x14ac:dyDescent="0.25">
      <c r="A1286" t="s">
        <v>1632</v>
      </c>
      <c r="H1286" s="14"/>
    </row>
    <row r="1287" spans="1:8" x14ac:dyDescent="0.25">
      <c r="A1287" t="s">
        <v>1633</v>
      </c>
      <c r="H1287" s="14"/>
    </row>
    <row r="1288" spans="1:8" x14ac:dyDescent="0.25">
      <c r="A1288" t="s">
        <v>1634</v>
      </c>
      <c r="H1288" s="14"/>
    </row>
    <row r="1289" spans="1:8" x14ac:dyDescent="0.25">
      <c r="A1289" t="s">
        <v>576</v>
      </c>
      <c r="H1289" s="14"/>
    </row>
    <row r="1290" spans="1:8" x14ac:dyDescent="0.25">
      <c r="A1290" t="s">
        <v>1635</v>
      </c>
      <c r="H1290" s="14"/>
    </row>
    <row r="1291" spans="1:8" x14ac:dyDescent="0.25">
      <c r="A1291" t="s">
        <v>577</v>
      </c>
      <c r="H1291" s="14"/>
    </row>
    <row r="1292" spans="1:8" x14ac:dyDescent="0.25">
      <c r="A1292" t="s">
        <v>1636</v>
      </c>
      <c r="H1292" s="14"/>
    </row>
    <row r="1293" spans="1:8" x14ac:dyDescent="0.25">
      <c r="A1293" t="s">
        <v>578</v>
      </c>
      <c r="H1293" s="14"/>
    </row>
    <row r="1294" spans="1:8" x14ac:dyDescent="0.25">
      <c r="A1294" t="s">
        <v>579</v>
      </c>
      <c r="H1294" s="14"/>
    </row>
    <row r="1295" spans="1:8" x14ac:dyDescent="0.25">
      <c r="A1295" t="s">
        <v>580</v>
      </c>
      <c r="H1295" s="14"/>
    </row>
    <row r="1296" spans="1:8" x14ac:dyDescent="0.25">
      <c r="A1296" t="s">
        <v>581</v>
      </c>
      <c r="H1296" s="14"/>
    </row>
    <row r="1297" spans="1:8" x14ac:dyDescent="0.25">
      <c r="A1297" t="s">
        <v>582</v>
      </c>
      <c r="H1297" s="14"/>
    </row>
    <row r="1298" spans="1:8" x14ac:dyDescent="0.25">
      <c r="A1298" t="s">
        <v>583</v>
      </c>
      <c r="H1298" s="14"/>
    </row>
    <row r="1299" spans="1:8" x14ac:dyDescent="0.25">
      <c r="A1299" t="s">
        <v>1637</v>
      </c>
      <c r="H1299" s="14"/>
    </row>
    <row r="1300" spans="1:8" x14ac:dyDescent="0.25">
      <c r="A1300" t="s">
        <v>584</v>
      </c>
      <c r="H1300" s="14"/>
    </row>
    <row r="1301" spans="1:8" x14ac:dyDescent="0.25">
      <c r="A1301" t="s">
        <v>1638</v>
      </c>
      <c r="H1301" s="14"/>
    </row>
    <row r="1302" spans="1:8" x14ac:dyDescent="0.25">
      <c r="A1302" t="s">
        <v>585</v>
      </c>
      <c r="H1302" s="14"/>
    </row>
    <row r="1303" spans="1:8" x14ac:dyDescent="0.25">
      <c r="A1303" t="s">
        <v>586</v>
      </c>
      <c r="H1303" s="14"/>
    </row>
    <row r="1304" spans="1:8" x14ac:dyDescent="0.25">
      <c r="A1304" t="s">
        <v>1639</v>
      </c>
      <c r="H1304" s="14"/>
    </row>
    <row r="1305" spans="1:8" x14ac:dyDescent="0.25">
      <c r="A1305" t="s">
        <v>1640</v>
      </c>
      <c r="H1305" s="14"/>
    </row>
    <row r="1306" spans="1:8" x14ac:dyDescent="0.25">
      <c r="A1306" t="s">
        <v>587</v>
      </c>
      <c r="H1306" s="14"/>
    </row>
    <row r="1307" spans="1:8" x14ac:dyDescent="0.25">
      <c r="A1307" t="s">
        <v>1641</v>
      </c>
      <c r="H1307" s="14"/>
    </row>
    <row r="1308" spans="1:8" x14ac:dyDescent="0.25">
      <c r="A1308" t="s">
        <v>1642</v>
      </c>
      <c r="H1308" s="14"/>
    </row>
    <row r="1309" spans="1:8" x14ac:dyDescent="0.25">
      <c r="A1309" t="s">
        <v>1643</v>
      </c>
      <c r="H1309" s="14"/>
    </row>
    <row r="1310" spans="1:8" x14ac:dyDescent="0.25">
      <c r="A1310" t="s">
        <v>588</v>
      </c>
      <c r="H1310" s="14"/>
    </row>
    <row r="1311" spans="1:8" x14ac:dyDescent="0.25">
      <c r="A1311" t="s">
        <v>1644</v>
      </c>
      <c r="H1311" s="14"/>
    </row>
    <row r="1312" spans="1:8" x14ac:dyDescent="0.25">
      <c r="A1312" t="s">
        <v>589</v>
      </c>
      <c r="H1312" s="14"/>
    </row>
    <row r="1313" spans="1:8" x14ac:dyDescent="0.25">
      <c r="A1313" t="s">
        <v>1645</v>
      </c>
      <c r="H1313" s="14"/>
    </row>
    <row r="1314" spans="1:8" x14ac:dyDescent="0.25">
      <c r="A1314" t="s">
        <v>590</v>
      </c>
      <c r="H1314" s="14"/>
    </row>
    <row r="1315" spans="1:8" x14ac:dyDescent="0.25">
      <c r="A1315" t="s">
        <v>1646</v>
      </c>
      <c r="H1315" s="14"/>
    </row>
    <row r="1316" spans="1:8" x14ac:dyDescent="0.25">
      <c r="A1316" t="s">
        <v>591</v>
      </c>
      <c r="H1316" s="14"/>
    </row>
    <row r="1317" spans="1:8" x14ac:dyDescent="0.25">
      <c r="A1317" t="s">
        <v>592</v>
      </c>
      <c r="H1317" s="14"/>
    </row>
    <row r="1318" spans="1:8" x14ac:dyDescent="0.25">
      <c r="A1318" t="s">
        <v>593</v>
      </c>
      <c r="H1318" s="14"/>
    </row>
    <row r="1319" spans="1:8" x14ac:dyDescent="0.25">
      <c r="A1319" t="s">
        <v>1647</v>
      </c>
      <c r="H1319" s="14"/>
    </row>
    <row r="1320" spans="1:8" x14ac:dyDescent="0.25">
      <c r="A1320" t="s">
        <v>1648</v>
      </c>
      <c r="H1320" s="14"/>
    </row>
    <row r="1321" spans="1:8" x14ac:dyDescent="0.25">
      <c r="A1321" t="s">
        <v>1649</v>
      </c>
      <c r="H1321" s="14"/>
    </row>
    <row r="1322" spans="1:8" x14ac:dyDescent="0.25">
      <c r="A1322" t="s">
        <v>594</v>
      </c>
      <c r="H1322" s="14"/>
    </row>
    <row r="1323" spans="1:8" x14ac:dyDescent="0.25">
      <c r="A1323" t="s">
        <v>1650</v>
      </c>
      <c r="H1323" s="14"/>
    </row>
    <row r="1324" spans="1:8" x14ac:dyDescent="0.25">
      <c r="A1324" t="s">
        <v>1651</v>
      </c>
      <c r="H1324" s="14"/>
    </row>
    <row r="1325" spans="1:8" x14ac:dyDescent="0.25">
      <c r="A1325" t="s">
        <v>595</v>
      </c>
      <c r="H1325" s="14"/>
    </row>
    <row r="1326" spans="1:8" x14ac:dyDescent="0.25">
      <c r="A1326" t="s">
        <v>1652</v>
      </c>
      <c r="H1326" s="14"/>
    </row>
    <row r="1327" spans="1:8" x14ac:dyDescent="0.25">
      <c r="A1327" t="s">
        <v>1653</v>
      </c>
      <c r="H1327" s="14"/>
    </row>
    <row r="1328" spans="1:8" x14ac:dyDescent="0.25">
      <c r="A1328" t="s">
        <v>596</v>
      </c>
      <c r="H1328" s="14"/>
    </row>
    <row r="1329" spans="1:8" x14ac:dyDescent="0.25">
      <c r="A1329" t="s">
        <v>597</v>
      </c>
      <c r="H1329" s="14"/>
    </row>
    <row r="1330" spans="1:8" x14ac:dyDescent="0.25">
      <c r="A1330" t="s">
        <v>1654</v>
      </c>
      <c r="H1330" s="14"/>
    </row>
    <row r="1331" spans="1:8" x14ac:dyDescent="0.25">
      <c r="A1331" t="s">
        <v>598</v>
      </c>
      <c r="H1331" s="14"/>
    </row>
    <row r="1332" spans="1:8" x14ac:dyDescent="0.25">
      <c r="A1332" t="s">
        <v>1655</v>
      </c>
      <c r="H1332" s="14"/>
    </row>
    <row r="1333" spans="1:8" x14ac:dyDescent="0.25">
      <c r="A1333" t="s">
        <v>1656</v>
      </c>
      <c r="H1333" s="14"/>
    </row>
    <row r="1334" spans="1:8" x14ac:dyDescent="0.25">
      <c r="A1334" t="s">
        <v>1657</v>
      </c>
      <c r="H1334" s="14"/>
    </row>
    <row r="1335" spans="1:8" x14ac:dyDescent="0.25">
      <c r="A1335" t="s">
        <v>599</v>
      </c>
      <c r="H1335" s="14"/>
    </row>
    <row r="1336" spans="1:8" x14ac:dyDescent="0.25">
      <c r="A1336" t="s">
        <v>600</v>
      </c>
      <c r="H1336" s="14"/>
    </row>
    <row r="1337" spans="1:8" x14ac:dyDescent="0.25">
      <c r="A1337" t="s">
        <v>601</v>
      </c>
      <c r="H1337" s="14"/>
    </row>
    <row r="1338" spans="1:8" x14ac:dyDescent="0.25">
      <c r="A1338" t="s">
        <v>602</v>
      </c>
      <c r="H1338" s="14"/>
    </row>
    <row r="1339" spans="1:8" x14ac:dyDescent="0.25">
      <c r="A1339" t="s">
        <v>2042</v>
      </c>
      <c r="H1339" s="14"/>
    </row>
    <row r="1340" spans="1:8" x14ac:dyDescent="0.25">
      <c r="A1340" t="s">
        <v>603</v>
      </c>
      <c r="H1340" s="14"/>
    </row>
    <row r="1341" spans="1:8" x14ac:dyDescent="0.25">
      <c r="A1341" t="s">
        <v>604</v>
      </c>
      <c r="H1341" s="14"/>
    </row>
    <row r="1342" spans="1:8" x14ac:dyDescent="0.25">
      <c r="A1342" t="s">
        <v>1658</v>
      </c>
      <c r="H1342" s="14"/>
    </row>
    <row r="1343" spans="1:8" x14ac:dyDescent="0.25">
      <c r="A1343" t="s">
        <v>1659</v>
      </c>
      <c r="H1343" s="14"/>
    </row>
    <row r="1344" spans="1:8" x14ac:dyDescent="0.25">
      <c r="A1344" t="s">
        <v>605</v>
      </c>
      <c r="H1344" s="14"/>
    </row>
    <row r="1345" spans="1:8" x14ac:dyDescent="0.25">
      <c r="A1345" t="s">
        <v>1660</v>
      </c>
      <c r="H1345" s="14"/>
    </row>
    <row r="1346" spans="1:8" x14ac:dyDescent="0.25">
      <c r="A1346" t="s">
        <v>1661</v>
      </c>
      <c r="H1346" s="14"/>
    </row>
    <row r="1347" spans="1:8" x14ac:dyDescent="0.25">
      <c r="A1347" t="s">
        <v>1662</v>
      </c>
      <c r="H1347" s="14"/>
    </row>
    <row r="1348" spans="1:8" x14ac:dyDescent="0.25">
      <c r="A1348" t="s">
        <v>606</v>
      </c>
      <c r="H1348" s="14"/>
    </row>
    <row r="1349" spans="1:8" x14ac:dyDescent="0.25">
      <c r="A1349" t="s">
        <v>1663</v>
      </c>
      <c r="H1349" s="14"/>
    </row>
    <row r="1350" spans="1:8" x14ac:dyDescent="0.25">
      <c r="A1350" t="s">
        <v>607</v>
      </c>
      <c r="H1350" s="14"/>
    </row>
    <row r="1351" spans="1:8" x14ac:dyDescent="0.25">
      <c r="A1351" t="s">
        <v>1664</v>
      </c>
      <c r="H1351" s="14"/>
    </row>
    <row r="1352" spans="1:8" x14ac:dyDescent="0.25">
      <c r="A1352" t="s">
        <v>608</v>
      </c>
      <c r="H1352" s="14"/>
    </row>
    <row r="1353" spans="1:8" x14ac:dyDescent="0.25">
      <c r="A1353" t="s">
        <v>609</v>
      </c>
      <c r="H1353" s="14"/>
    </row>
    <row r="1354" spans="1:8" x14ac:dyDescent="0.25">
      <c r="A1354" t="s">
        <v>610</v>
      </c>
      <c r="H1354" s="14"/>
    </row>
    <row r="1355" spans="1:8" x14ac:dyDescent="0.25">
      <c r="A1355" t="s">
        <v>611</v>
      </c>
      <c r="H1355" s="14"/>
    </row>
    <row r="1356" spans="1:8" x14ac:dyDescent="0.25">
      <c r="A1356" t="s">
        <v>612</v>
      </c>
      <c r="H1356" s="14"/>
    </row>
    <row r="1357" spans="1:8" x14ac:dyDescent="0.25">
      <c r="A1357" t="s">
        <v>613</v>
      </c>
      <c r="H1357" s="14"/>
    </row>
    <row r="1358" spans="1:8" x14ac:dyDescent="0.25">
      <c r="A1358" t="s">
        <v>1665</v>
      </c>
      <c r="H1358" s="14"/>
    </row>
    <row r="1359" spans="1:8" x14ac:dyDescent="0.25">
      <c r="A1359" t="s">
        <v>614</v>
      </c>
      <c r="H1359" s="14"/>
    </row>
    <row r="1360" spans="1:8" x14ac:dyDescent="0.25">
      <c r="A1360" t="s">
        <v>1666</v>
      </c>
      <c r="H1360" s="14"/>
    </row>
    <row r="1361" spans="1:8" x14ac:dyDescent="0.25">
      <c r="A1361" t="s">
        <v>615</v>
      </c>
      <c r="H1361" s="14"/>
    </row>
    <row r="1362" spans="1:8" x14ac:dyDescent="0.25">
      <c r="A1362" t="s">
        <v>616</v>
      </c>
      <c r="H1362" s="14"/>
    </row>
    <row r="1363" spans="1:8" x14ac:dyDescent="0.25">
      <c r="A1363" t="s">
        <v>1667</v>
      </c>
      <c r="H1363" s="14"/>
    </row>
    <row r="1364" spans="1:8" x14ac:dyDescent="0.25">
      <c r="A1364" t="s">
        <v>1668</v>
      </c>
      <c r="H1364" s="14"/>
    </row>
    <row r="1365" spans="1:8" x14ac:dyDescent="0.25">
      <c r="A1365" t="s">
        <v>617</v>
      </c>
      <c r="H1365" s="14"/>
    </row>
    <row r="1366" spans="1:8" x14ac:dyDescent="0.25">
      <c r="A1366" t="s">
        <v>1669</v>
      </c>
      <c r="H1366" s="14"/>
    </row>
    <row r="1367" spans="1:8" x14ac:dyDescent="0.25">
      <c r="A1367" t="s">
        <v>1670</v>
      </c>
      <c r="H1367" s="14"/>
    </row>
    <row r="1368" spans="1:8" x14ac:dyDescent="0.25">
      <c r="A1368" t="s">
        <v>1671</v>
      </c>
      <c r="H1368" s="14"/>
    </row>
    <row r="1369" spans="1:8" x14ac:dyDescent="0.25">
      <c r="A1369" t="s">
        <v>618</v>
      </c>
      <c r="H1369" s="14"/>
    </row>
    <row r="1370" spans="1:8" x14ac:dyDescent="0.25">
      <c r="A1370" t="s">
        <v>1672</v>
      </c>
      <c r="H1370" s="14"/>
    </row>
    <row r="1371" spans="1:8" x14ac:dyDescent="0.25">
      <c r="A1371" t="s">
        <v>619</v>
      </c>
      <c r="H1371" s="14"/>
    </row>
    <row r="1372" spans="1:8" x14ac:dyDescent="0.25">
      <c r="A1372" t="s">
        <v>1673</v>
      </c>
      <c r="H1372" s="14"/>
    </row>
    <row r="1373" spans="1:8" x14ac:dyDescent="0.25">
      <c r="A1373" t="s">
        <v>620</v>
      </c>
      <c r="H1373" s="14"/>
    </row>
    <row r="1374" spans="1:8" x14ac:dyDescent="0.25">
      <c r="A1374" t="s">
        <v>1674</v>
      </c>
      <c r="H1374" s="14"/>
    </row>
    <row r="1375" spans="1:8" x14ac:dyDescent="0.25">
      <c r="A1375" t="s">
        <v>621</v>
      </c>
      <c r="H1375" s="14"/>
    </row>
    <row r="1376" spans="1:8" x14ac:dyDescent="0.25">
      <c r="A1376" t="s">
        <v>622</v>
      </c>
      <c r="H1376" s="14"/>
    </row>
    <row r="1377" spans="1:8" x14ac:dyDescent="0.25">
      <c r="A1377" t="s">
        <v>623</v>
      </c>
      <c r="H1377" s="14"/>
    </row>
    <row r="1378" spans="1:8" x14ac:dyDescent="0.25">
      <c r="A1378" t="s">
        <v>1675</v>
      </c>
      <c r="H1378" s="14"/>
    </row>
    <row r="1379" spans="1:8" x14ac:dyDescent="0.25">
      <c r="A1379" t="s">
        <v>1676</v>
      </c>
      <c r="H1379" s="14"/>
    </row>
    <row r="1380" spans="1:8" x14ac:dyDescent="0.25">
      <c r="A1380" t="s">
        <v>1677</v>
      </c>
      <c r="H1380" s="14"/>
    </row>
    <row r="1381" spans="1:8" x14ac:dyDescent="0.25">
      <c r="A1381" t="s">
        <v>624</v>
      </c>
      <c r="H1381" s="14"/>
    </row>
    <row r="1382" spans="1:8" x14ac:dyDescent="0.25">
      <c r="A1382" t="s">
        <v>1678</v>
      </c>
      <c r="H1382" s="14"/>
    </row>
    <row r="1383" spans="1:8" x14ac:dyDescent="0.25">
      <c r="A1383" t="s">
        <v>1679</v>
      </c>
      <c r="H1383" s="14"/>
    </row>
    <row r="1384" spans="1:8" x14ac:dyDescent="0.25">
      <c r="A1384" t="s">
        <v>625</v>
      </c>
      <c r="H1384" s="14"/>
    </row>
    <row r="1385" spans="1:8" x14ac:dyDescent="0.25">
      <c r="A1385" t="s">
        <v>1680</v>
      </c>
      <c r="H1385" s="14"/>
    </row>
    <row r="1386" spans="1:8" x14ac:dyDescent="0.25">
      <c r="A1386" t="s">
        <v>1681</v>
      </c>
      <c r="H1386" s="14"/>
    </row>
    <row r="1387" spans="1:8" x14ac:dyDescent="0.25">
      <c r="A1387" t="s">
        <v>626</v>
      </c>
      <c r="H1387" s="14"/>
    </row>
    <row r="1388" spans="1:8" x14ac:dyDescent="0.25">
      <c r="A1388" t="s">
        <v>627</v>
      </c>
      <c r="H1388" s="14"/>
    </row>
    <row r="1389" spans="1:8" x14ac:dyDescent="0.25">
      <c r="A1389" t="s">
        <v>1682</v>
      </c>
      <c r="H1389" s="14"/>
    </row>
    <row r="1390" spans="1:8" x14ac:dyDescent="0.25">
      <c r="A1390" t="s">
        <v>628</v>
      </c>
      <c r="H1390" s="14"/>
    </row>
    <row r="1391" spans="1:8" x14ac:dyDescent="0.25">
      <c r="A1391" t="s">
        <v>1683</v>
      </c>
      <c r="H1391" s="14"/>
    </row>
    <row r="1392" spans="1:8" x14ac:dyDescent="0.25">
      <c r="A1392" t="s">
        <v>1684</v>
      </c>
      <c r="H1392" s="14"/>
    </row>
    <row r="1393" spans="1:8" x14ac:dyDescent="0.25">
      <c r="A1393" t="s">
        <v>1685</v>
      </c>
      <c r="H1393" s="14"/>
    </row>
    <row r="1394" spans="1:8" x14ac:dyDescent="0.25">
      <c r="A1394" t="s">
        <v>629</v>
      </c>
      <c r="H1394" s="14"/>
    </row>
    <row r="1395" spans="1:8" x14ac:dyDescent="0.25">
      <c r="A1395" t="s">
        <v>630</v>
      </c>
      <c r="H1395" s="14"/>
    </row>
    <row r="1396" spans="1:8" x14ac:dyDescent="0.25">
      <c r="A1396" t="s">
        <v>631</v>
      </c>
      <c r="H1396" s="14"/>
    </row>
    <row r="1397" spans="1:8" x14ac:dyDescent="0.25">
      <c r="A1397" t="s">
        <v>632</v>
      </c>
      <c r="H1397" s="14"/>
    </row>
    <row r="1398" spans="1:8" x14ac:dyDescent="0.25">
      <c r="A1398" t="s">
        <v>2043</v>
      </c>
      <c r="H1398" s="14"/>
    </row>
    <row r="1399" spans="1:8" x14ac:dyDescent="0.25">
      <c r="A1399" t="s">
        <v>633</v>
      </c>
      <c r="H1399" s="14"/>
    </row>
    <row r="1400" spans="1:8" x14ac:dyDescent="0.25">
      <c r="A1400" t="s">
        <v>634</v>
      </c>
      <c r="H1400" s="14"/>
    </row>
    <row r="1401" spans="1:8" x14ac:dyDescent="0.25">
      <c r="A1401" t="s">
        <v>1686</v>
      </c>
      <c r="H1401" s="14"/>
    </row>
    <row r="1402" spans="1:8" x14ac:dyDescent="0.25">
      <c r="A1402" t="s">
        <v>1687</v>
      </c>
      <c r="H1402" s="14"/>
    </row>
    <row r="1403" spans="1:8" x14ac:dyDescent="0.25">
      <c r="A1403" t="s">
        <v>635</v>
      </c>
      <c r="H1403" s="14"/>
    </row>
    <row r="1404" spans="1:8" x14ac:dyDescent="0.25">
      <c r="A1404" t="s">
        <v>1688</v>
      </c>
      <c r="H1404" s="14"/>
    </row>
    <row r="1405" spans="1:8" x14ac:dyDescent="0.25">
      <c r="A1405" t="s">
        <v>1689</v>
      </c>
      <c r="H1405" s="14"/>
    </row>
    <row r="1406" spans="1:8" x14ac:dyDescent="0.25">
      <c r="A1406" t="s">
        <v>1690</v>
      </c>
      <c r="H1406" s="14"/>
    </row>
    <row r="1407" spans="1:8" x14ac:dyDescent="0.25">
      <c r="A1407" t="s">
        <v>636</v>
      </c>
      <c r="H1407" s="14"/>
    </row>
    <row r="1408" spans="1:8" x14ac:dyDescent="0.25">
      <c r="A1408" t="s">
        <v>1691</v>
      </c>
      <c r="H1408" s="14"/>
    </row>
    <row r="1409" spans="1:8" x14ac:dyDescent="0.25">
      <c r="A1409" t="s">
        <v>637</v>
      </c>
      <c r="H1409" s="14"/>
    </row>
    <row r="1410" spans="1:8" x14ac:dyDescent="0.25">
      <c r="A1410" t="s">
        <v>1692</v>
      </c>
      <c r="H1410" s="14"/>
    </row>
    <row r="1411" spans="1:8" x14ac:dyDescent="0.25">
      <c r="A1411" t="s">
        <v>638</v>
      </c>
      <c r="H1411" s="14"/>
    </row>
    <row r="1412" spans="1:8" x14ac:dyDescent="0.25">
      <c r="A1412" t="s">
        <v>639</v>
      </c>
      <c r="H1412" s="14"/>
    </row>
    <row r="1413" spans="1:8" x14ac:dyDescent="0.25">
      <c r="A1413" t="s">
        <v>640</v>
      </c>
      <c r="H1413" s="14"/>
    </row>
    <row r="1414" spans="1:8" x14ac:dyDescent="0.25">
      <c r="A1414" t="s">
        <v>641</v>
      </c>
      <c r="H1414" s="14"/>
    </row>
    <row r="1415" spans="1:8" x14ac:dyDescent="0.25">
      <c r="A1415" t="s">
        <v>642</v>
      </c>
      <c r="H1415" s="14"/>
    </row>
    <row r="1416" spans="1:8" x14ac:dyDescent="0.25">
      <c r="A1416" t="s">
        <v>643</v>
      </c>
      <c r="H1416" s="14"/>
    </row>
    <row r="1417" spans="1:8" x14ac:dyDescent="0.25">
      <c r="A1417" t="s">
        <v>1693</v>
      </c>
      <c r="H1417" s="14"/>
    </row>
    <row r="1418" spans="1:8" x14ac:dyDescent="0.25">
      <c r="A1418" t="s">
        <v>644</v>
      </c>
      <c r="H1418" s="14"/>
    </row>
    <row r="1419" spans="1:8" x14ac:dyDescent="0.25">
      <c r="A1419" t="s">
        <v>1694</v>
      </c>
      <c r="H1419" s="14"/>
    </row>
    <row r="1420" spans="1:8" x14ac:dyDescent="0.25">
      <c r="A1420" t="s">
        <v>645</v>
      </c>
      <c r="H1420" s="14"/>
    </row>
    <row r="1421" spans="1:8" x14ac:dyDescent="0.25">
      <c r="A1421" t="s">
        <v>646</v>
      </c>
      <c r="H1421" s="14"/>
    </row>
    <row r="1422" spans="1:8" x14ac:dyDescent="0.25">
      <c r="A1422" t="s">
        <v>1695</v>
      </c>
      <c r="H1422" s="14"/>
    </row>
    <row r="1423" spans="1:8" x14ac:dyDescent="0.25">
      <c r="A1423" t="s">
        <v>1696</v>
      </c>
      <c r="H1423" s="14"/>
    </row>
    <row r="1424" spans="1:8" x14ac:dyDescent="0.25">
      <c r="A1424" t="s">
        <v>647</v>
      </c>
      <c r="H1424" s="14"/>
    </row>
    <row r="1425" spans="1:8" x14ac:dyDescent="0.25">
      <c r="A1425" t="s">
        <v>1697</v>
      </c>
      <c r="H1425" s="14"/>
    </row>
    <row r="1426" spans="1:8" x14ac:dyDescent="0.25">
      <c r="A1426" t="s">
        <v>1698</v>
      </c>
      <c r="H1426" s="14"/>
    </row>
    <row r="1427" spans="1:8" x14ac:dyDescent="0.25">
      <c r="A1427" t="s">
        <v>1699</v>
      </c>
      <c r="H1427" s="14"/>
    </row>
    <row r="1428" spans="1:8" x14ac:dyDescent="0.25">
      <c r="A1428" t="s">
        <v>648</v>
      </c>
      <c r="H1428" s="14"/>
    </row>
    <row r="1429" spans="1:8" x14ac:dyDescent="0.25">
      <c r="A1429" t="s">
        <v>1700</v>
      </c>
      <c r="H1429" s="14"/>
    </row>
    <row r="1430" spans="1:8" x14ac:dyDescent="0.25">
      <c r="A1430" t="s">
        <v>649</v>
      </c>
      <c r="H1430" s="14"/>
    </row>
    <row r="1431" spans="1:8" x14ac:dyDescent="0.25">
      <c r="A1431" t="s">
        <v>1701</v>
      </c>
      <c r="H1431" s="14"/>
    </row>
    <row r="1432" spans="1:8" x14ac:dyDescent="0.25">
      <c r="A1432" t="s">
        <v>650</v>
      </c>
      <c r="H1432" s="14"/>
    </row>
    <row r="1433" spans="1:8" x14ac:dyDescent="0.25">
      <c r="A1433" t="s">
        <v>1702</v>
      </c>
      <c r="H1433" s="14"/>
    </row>
    <row r="1434" spans="1:8" x14ac:dyDescent="0.25">
      <c r="A1434" t="s">
        <v>651</v>
      </c>
      <c r="H1434" s="14"/>
    </row>
    <row r="1435" spans="1:8" x14ac:dyDescent="0.25">
      <c r="A1435" t="s">
        <v>652</v>
      </c>
      <c r="H1435" s="14"/>
    </row>
    <row r="1436" spans="1:8" x14ac:dyDescent="0.25">
      <c r="A1436" t="s">
        <v>653</v>
      </c>
      <c r="H1436" s="14"/>
    </row>
    <row r="1437" spans="1:8" x14ac:dyDescent="0.25">
      <c r="A1437" t="s">
        <v>1703</v>
      </c>
      <c r="H1437" s="14"/>
    </row>
    <row r="1438" spans="1:8" x14ac:dyDescent="0.25">
      <c r="A1438" t="s">
        <v>1704</v>
      </c>
      <c r="H1438" s="14"/>
    </row>
    <row r="1439" spans="1:8" x14ac:dyDescent="0.25">
      <c r="A1439" t="s">
        <v>1705</v>
      </c>
      <c r="H1439" s="14"/>
    </row>
    <row r="1440" spans="1:8" x14ac:dyDescent="0.25">
      <c r="A1440" t="s">
        <v>654</v>
      </c>
      <c r="H1440" s="14"/>
    </row>
    <row r="1441" spans="1:8" x14ac:dyDescent="0.25">
      <c r="A1441" t="s">
        <v>1706</v>
      </c>
      <c r="H1441" s="14"/>
    </row>
    <row r="1442" spans="1:8" x14ac:dyDescent="0.25">
      <c r="A1442" t="s">
        <v>1707</v>
      </c>
      <c r="H1442" s="14"/>
    </row>
    <row r="1443" spans="1:8" x14ac:dyDescent="0.25">
      <c r="A1443" t="s">
        <v>655</v>
      </c>
      <c r="H1443" s="14"/>
    </row>
    <row r="1444" spans="1:8" x14ac:dyDescent="0.25">
      <c r="A1444" t="s">
        <v>1708</v>
      </c>
      <c r="H1444" s="14"/>
    </row>
    <row r="1445" spans="1:8" x14ac:dyDescent="0.25">
      <c r="A1445" t="s">
        <v>1709</v>
      </c>
      <c r="H1445" s="14"/>
    </row>
    <row r="1446" spans="1:8" x14ac:dyDescent="0.25">
      <c r="A1446" t="s">
        <v>656</v>
      </c>
      <c r="H1446" s="14"/>
    </row>
    <row r="1447" spans="1:8" x14ac:dyDescent="0.25">
      <c r="A1447" t="s">
        <v>657</v>
      </c>
      <c r="H1447" s="14"/>
    </row>
    <row r="1448" spans="1:8" x14ac:dyDescent="0.25">
      <c r="A1448" t="s">
        <v>1710</v>
      </c>
      <c r="H1448" s="14"/>
    </row>
    <row r="1449" spans="1:8" x14ac:dyDescent="0.25">
      <c r="A1449" t="s">
        <v>658</v>
      </c>
      <c r="H1449" s="14"/>
    </row>
    <row r="1450" spans="1:8" x14ac:dyDescent="0.25">
      <c r="A1450" t="s">
        <v>1711</v>
      </c>
      <c r="H1450" s="14"/>
    </row>
    <row r="1451" spans="1:8" x14ac:dyDescent="0.25">
      <c r="A1451" t="s">
        <v>1712</v>
      </c>
      <c r="H1451" s="14"/>
    </row>
    <row r="1452" spans="1:8" x14ac:dyDescent="0.25">
      <c r="A1452" t="s">
        <v>1713</v>
      </c>
      <c r="H1452" s="14"/>
    </row>
    <row r="1453" spans="1:8" x14ac:dyDescent="0.25">
      <c r="A1453" t="s">
        <v>659</v>
      </c>
      <c r="H1453" s="14"/>
    </row>
    <row r="1454" spans="1:8" x14ac:dyDescent="0.25">
      <c r="A1454" t="s">
        <v>660</v>
      </c>
      <c r="H1454" s="14"/>
    </row>
    <row r="1455" spans="1:8" x14ac:dyDescent="0.25">
      <c r="A1455" t="s">
        <v>661</v>
      </c>
      <c r="H1455" s="14"/>
    </row>
    <row r="1456" spans="1:8" x14ac:dyDescent="0.25">
      <c r="A1456" t="s">
        <v>662</v>
      </c>
      <c r="H1456" s="14"/>
    </row>
    <row r="1457" spans="1:8" x14ac:dyDescent="0.25">
      <c r="A1457" t="s">
        <v>2044</v>
      </c>
      <c r="H1457" s="14"/>
    </row>
    <row r="1458" spans="1:8" x14ac:dyDescent="0.25">
      <c r="A1458" t="s">
        <v>663</v>
      </c>
      <c r="H1458" s="14"/>
    </row>
    <row r="1459" spans="1:8" x14ac:dyDescent="0.25">
      <c r="A1459" t="s">
        <v>664</v>
      </c>
      <c r="H1459" s="14"/>
    </row>
    <row r="1460" spans="1:8" x14ac:dyDescent="0.25">
      <c r="A1460" t="s">
        <v>1714</v>
      </c>
      <c r="H1460" s="14"/>
    </row>
    <row r="1461" spans="1:8" x14ac:dyDescent="0.25">
      <c r="A1461" t="s">
        <v>1715</v>
      </c>
      <c r="H1461" s="14"/>
    </row>
    <row r="1462" spans="1:8" x14ac:dyDescent="0.25">
      <c r="A1462" t="s">
        <v>665</v>
      </c>
      <c r="H1462" s="14"/>
    </row>
    <row r="1463" spans="1:8" x14ac:dyDescent="0.25">
      <c r="A1463" t="s">
        <v>1716</v>
      </c>
      <c r="H1463" s="14"/>
    </row>
    <row r="1464" spans="1:8" x14ac:dyDescent="0.25">
      <c r="A1464" t="s">
        <v>1717</v>
      </c>
      <c r="H1464" s="14"/>
    </row>
    <row r="1465" spans="1:8" x14ac:dyDescent="0.25">
      <c r="A1465" t="s">
        <v>1718</v>
      </c>
      <c r="H1465" s="14"/>
    </row>
    <row r="1466" spans="1:8" x14ac:dyDescent="0.25">
      <c r="A1466" t="s">
        <v>666</v>
      </c>
      <c r="H1466" s="14"/>
    </row>
    <row r="1467" spans="1:8" x14ac:dyDescent="0.25">
      <c r="A1467" t="s">
        <v>1719</v>
      </c>
      <c r="H1467" s="14"/>
    </row>
    <row r="1468" spans="1:8" x14ac:dyDescent="0.25">
      <c r="A1468" t="s">
        <v>667</v>
      </c>
      <c r="H1468" s="14"/>
    </row>
    <row r="1469" spans="1:8" x14ac:dyDescent="0.25">
      <c r="A1469" t="s">
        <v>1720</v>
      </c>
      <c r="H1469" s="14"/>
    </row>
    <row r="1470" spans="1:8" x14ac:dyDescent="0.25">
      <c r="A1470" t="s">
        <v>668</v>
      </c>
      <c r="H1470" s="14"/>
    </row>
    <row r="1471" spans="1:8" x14ac:dyDescent="0.25">
      <c r="A1471" t="s">
        <v>669</v>
      </c>
      <c r="H1471" s="14"/>
    </row>
    <row r="1472" spans="1:8" x14ac:dyDescent="0.25">
      <c r="A1472" t="s">
        <v>670</v>
      </c>
      <c r="H1472" s="14"/>
    </row>
    <row r="1473" spans="1:8" x14ac:dyDescent="0.25">
      <c r="A1473" t="s">
        <v>671</v>
      </c>
      <c r="H1473" s="14"/>
    </row>
    <row r="1474" spans="1:8" x14ac:dyDescent="0.25">
      <c r="A1474" t="s">
        <v>672</v>
      </c>
      <c r="H1474" s="14"/>
    </row>
    <row r="1475" spans="1:8" x14ac:dyDescent="0.25">
      <c r="A1475" t="s">
        <v>673</v>
      </c>
      <c r="H1475" s="14"/>
    </row>
    <row r="1476" spans="1:8" x14ac:dyDescent="0.25">
      <c r="A1476" t="s">
        <v>1721</v>
      </c>
      <c r="H1476" s="14"/>
    </row>
    <row r="1477" spans="1:8" x14ac:dyDescent="0.25">
      <c r="A1477" t="s">
        <v>674</v>
      </c>
      <c r="H1477" s="14"/>
    </row>
    <row r="1478" spans="1:8" x14ac:dyDescent="0.25">
      <c r="A1478" t="s">
        <v>1722</v>
      </c>
      <c r="H1478" s="14"/>
    </row>
    <row r="1479" spans="1:8" x14ac:dyDescent="0.25">
      <c r="A1479" t="s">
        <v>675</v>
      </c>
      <c r="H1479" s="14"/>
    </row>
    <row r="1480" spans="1:8" x14ac:dyDescent="0.25">
      <c r="A1480" t="s">
        <v>676</v>
      </c>
      <c r="H1480" s="14"/>
    </row>
    <row r="1481" spans="1:8" x14ac:dyDescent="0.25">
      <c r="A1481" t="s">
        <v>1723</v>
      </c>
      <c r="H1481" s="14"/>
    </row>
    <row r="1482" spans="1:8" x14ac:dyDescent="0.25">
      <c r="A1482" t="s">
        <v>1724</v>
      </c>
      <c r="H1482" s="14"/>
    </row>
    <row r="1483" spans="1:8" x14ac:dyDescent="0.25">
      <c r="A1483" t="s">
        <v>677</v>
      </c>
      <c r="H1483" s="14"/>
    </row>
    <row r="1484" spans="1:8" x14ac:dyDescent="0.25">
      <c r="A1484" t="s">
        <v>1725</v>
      </c>
      <c r="H1484" s="14"/>
    </row>
    <row r="1485" spans="1:8" x14ac:dyDescent="0.25">
      <c r="A1485" t="s">
        <v>1726</v>
      </c>
      <c r="H1485" s="14"/>
    </row>
    <row r="1486" spans="1:8" x14ac:dyDescent="0.25">
      <c r="A1486" t="s">
        <v>1727</v>
      </c>
      <c r="H1486" s="14"/>
    </row>
    <row r="1487" spans="1:8" x14ac:dyDescent="0.25">
      <c r="A1487" t="s">
        <v>678</v>
      </c>
      <c r="H1487" s="14"/>
    </row>
    <row r="1488" spans="1:8" x14ac:dyDescent="0.25">
      <c r="A1488" t="s">
        <v>1728</v>
      </c>
      <c r="H1488" s="14"/>
    </row>
    <row r="1489" spans="1:8" x14ac:dyDescent="0.25">
      <c r="A1489" t="s">
        <v>679</v>
      </c>
      <c r="H1489" s="14"/>
    </row>
    <row r="1490" spans="1:8" x14ac:dyDescent="0.25">
      <c r="A1490" t="s">
        <v>1729</v>
      </c>
      <c r="H1490" s="14"/>
    </row>
    <row r="1491" spans="1:8" x14ac:dyDescent="0.25">
      <c r="A1491" t="s">
        <v>680</v>
      </c>
      <c r="H1491" s="14"/>
    </row>
    <row r="1492" spans="1:8" x14ac:dyDescent="0.25">
      <c r="A1492" t="s">
        <v>1730</v>
      </c>
      <c r="H1492" s="14"/>
    </row>
    <row r="1493" spans="1:8" x14ac:dyDescent="0.25">
      <c r="A1493" t="s">
        <v>681</v>
      </c>
      <c r="H1493" s="14"/>
    </row>
    <row r="1494" spans="1:8" x14ac:dyDescent="0.25">
      <c r="A1494" t="s">
        <v>682</v>
      </c>
      <c r="H1494" s="14"/>
    </row>
    <row r="1495" spans="1:8" x14ac:dyDescent="0.25">
      <c r="A1495" t="s">
        <v>683</v>
      </c>
      <c r="H1495" s="14"/>
    </row>
    <row r="1496" spans="1:8" x14ac:dyDescent="0.25">
      <c r="A1496" t="s">
        <v>1731</v>
      </c>
      <c r="H1496" s="14"/>
    </row>
    <row r="1497" spans="1:8" x14ac:dyDescent="0.25">
      <c r="A1497" t="s">
        <v>1732</v>
      </c>
      <c r="H1497" s="14"/>
    </row>
    <row r="1498" spans="1:8" x14ac:dyDescent="0.25">
      <c r="A1498" t="s">
        <v>1733</v>
      </c>
      <c r="H1498" s="14"/>
    </row>
    <row r="1499" spans="1:8" x14ac:dyDescent="0.25">
      <c r="A1499" t="s">
        <v>684</v>
      </c>
      <c r="H1499" s="14"/>
    </row>
    <row r="1500" spans="1:8" x14ac:dyDescent="0.25">
      <c r="A1500" t="s">
        <v>1734</v>
      </c>
      <c r="H1500" s="14"/>
    </row>
    <row r="1501" spans="1:8" x14ac:dyDescent="0.25">
      <c r="A1501" t="s">
        <v>1735</v>
      </c>
      <c r="H1501" s="14"/>
    </row>
    <row r="1502" spans="1:8" x14ac:dyDescent="0.25">
      <c r="A1502" t="s">
        <v>685</v>
      </c>
      <c r="H1502" s="14"/>
    </row>
    <row r="1503" spans="1:8" x14ac:dyDescent="0.25">
      <c r="A1503" t="s">
        <v>1736</v>
      </c>
      <c r="H1503" s="14"/>
    </row>
    <row r="1504" spans="1:8" x14ac:dyDescent="0.25">
      <c r="A1504" t="s">
        <v>1737</v>
      </c>
      <c r="H1504" s="14"/>
    </row>
    <row r="1505" spans="1:8" x14ac:dyDescent="0.25">
      <c r="A1505" t="s">
        <v>686</v>
      </c>
      <c r="H1505" s="14"/>
    </row>
    <row r="1506" spans="1:8" x14ac:dyDescent="0.25">
      <c r="A1506" t="s">
        <v>687</v>
      </c>
      <c r="H1506" s="14"/>
    </row>
    <row r="1507" spans="1:8" x14ac:dyDescent="0.25">
      <c r="A1507" t="s">
        <v>1738</v>
      </c>
      <c r="H1507" s="14"/>
    </row>
    <row r="1508" spans="1:8" x14ac:dyDescent="0.25">
      <c r="A1508" t="s">
        <v>688</v>
      </c>
      <c r="H1508" s="14"/>
    </row>
    <row r="1509" spans="1:8" x14ac:dyDescent="0.25">
      <c r="A1509" t="s">
        <v>1739</v>
      </c>
      <c r="H1509" s="14"/>
    </row>
    <row r="1510" spans="1:8" x14ac:dyDescent="0.25">
      <c r="A1510" t="s">
        <v>1740</v>
      </c>
      <c r="H1510" s="14"/>
    </row>
    <row r="1511" spans="1:8" x14ac:dyDescent="0.25">
      <c r="A1511" t="s">
        <v>1741</v>
      </c>
      <c r="H1511" s="14"/>
    </row>
    <row r="1512" spans="1:8" x14ac:dyDescent="0.25">
      <c r="A1512" t="s">
        <v>689</v>
      </c>
      <c r="H1512" s="14"/>
    </row>
    <row r="1513" spans="1:8" x14ac:dyDescent="0.25">
      <c r="A1513" t="s">
        <v>690</v>
      </c>
      <c r="H1513" s="14"/>
    </row>
    <row r="1514" spans="1:8" x14ac:dyDescent="0.25">
      <c r="A1514" t="s">
        <v>691</v>
      </c>
      <c r="H1514" s="14"/>
    </row>
    <row r="1515" spans="1:8" x14ac:dyDescent="0.25">
      <c r="A1515" t="s">
        <v>692</v>
      </c>
      <c r="H1515" s="14"/>
    </row>
    <row r="1516" spans="1:8" x14ac:dyDescent="0.25">
      <c r="A1516" t="s">
        <v>2045</v>
      </c>
      <c r="H1516" s="14"/>
    </row>
    <row r="1517" spans="1:8" x14ac:dyDescent="0.25">
      <c r="A1517" t="s">
        <v>693</v>
      </c>
      <c r="H1517" s="14"/>
    </row>
    <row r="1518" spans="1:8" x14ac:dyDescent="0.25">
      <c r="A1518" t="s">
        <v>694</v>
      </c>
      <c r="H1518" s="14"/>
    </row>
    <row r="1519" spans="1:8" x14ac:dyDescent="0.25">
      <c r="A1519" t="s">
        <v>1742</v>
      </c>
      <c r="H1519" s="14"/>
    </row>
    <row r="1520" spans="1:8" x14ac:dyDescent="0.25">
      <c r="A1520" t="s">
        <v>1743</v>
      </c>
      <c r="H1520" s="14"/>
    </row>
    <row r="1521" spans="1:8" x14ac:dyDescent="0.25">
      <c r="A1521" t="s">
        <v>695</v>
      </c>
      <c r="H1521" s="14"/>
    </row>
    <row r="1522" spans="1:8" x14ac:dyDescent="0.25">
      <c r="A1522" t="s">
        <v>1744</v>
      </c>
      <c r="H1522" s="14"/>
    </row>
    <row r="1523" spans="1:8" x14ac:dyDescent="0.25">
      <c r="A1523" t="s">
        <v>1745</v>
      </c>
      <c r="H1523" s="14"/>
    </row>
    <row r="1524" spans="1:8" x14ac:dyDescent="0.25">
      <c r="A1524" t="s">
        <v>1746</v>
      </c>
      <c r="H1524" s="14"/>
    </row>
    <row r="1525" spans="1:8" x14ac:dyDescent="0.25">
      <c r="A1525" t="s">
        <v>696</v>
      </c>
      <c r="H1525" s="14"/>
    </row>
    <row r="1526" spans="1:8" x14ac:dyDescent="0.25">
      <c r="A1526" t="s">
        <v>1747</v>
      </c>
      <c r="H1526" s="14"/>
    </row>
    <row r="1527" spans="1:8" x14ac:dyDescent="0.25">
      <c r="A1527" t="s">
        <v>697</v>
      </c>
      <c r="H1527" s="14"/>
    </row>
    <row r="1528" spans="1:8" x14ac:dyDescent="0.25">
      <c r="A1528" t="s">
        <v>1748</v>
      </c>
      <c r="H1528" s="14"/>
    </row>
    <row r="1529" spans="1:8" x14ac:dyDescent="0.25">
      <c r="A1529" t="s">
        <v>698</v>
      </c>
      <c r="H1529" s="14"/>
    </row>
    <row r="1530" spans="1:8" x14ac:dyDescent="0.25">
      <c r="A1530" t="s">
        <v>699</v>
      </c>
      <c r="H1530" s="14"/>
    </row>
    <row r="1531" spans="1:8" x14ac:dyDescent="0.25">
      <c r="A1531" t="s">
        <v>700</v>
      </c>
      <c r="H1531" s="14"/>
    </row>
    <row r="1532" spans="1:8" x14ac:dyDescent="0.25">
      <c r="A1532" t="s">
        <v>701</v>
      </c>
      <c r="H1532" s="14"/>
    </row>
    <row r="1533" spans="1:8" x14ac:dyDescent="0.25">
      <c r="A1533" t="s">
        <v>702</v>
      </c>
      <c r="H1533" s="14"/>
    </row>
    <row r="1534" spans="1:8" x14ac:dyDescent="0.25">
      <c r="A1534" t="s">
        <v>703</v>
      </c>
      <c r="H1534" s="14"/>
    </row>
    <row r="1535" spans="1:8" x14ac:dyDescent="0.25">
      <c r="A1535" t="s">
        <v>1749</v>
      </c>
      <c r="H1535" s="14"/>
    </row>
    <row r="1536" spans="1:8" x14ac:dyDescent="0.25">
      <c r="A1536" t="s">
        <v>704</v>
      </c>
      <c r="H1536" s="14"/>
    </row>
    <row r="1537" spans="1:8" x14ac:dyDescent="0.25">
      <c r="A1537" t="s">
        <v>1750</v>
      </c>
      <c r="H1537" s="14"/>
    </row>
    <row r="1538" spans="1:8" x14ac:dyDescent="0.25">
      <c r="A1538" t="s">
        <v>705</v>
      </c>
      <c r="H1538" s="14"/>
    </row>
    <row r="1539" spans="1:8" x14ac:dyDescent="0.25">
      <c r="A1539" t="s">
        <v>706</v>
      </c>
      <c r="H1539" s="14"/>
    </row>
    <row r="1540" spans="1:8" x14ac:dyDescent="0.25">
      <c r="A1540" t="s">
        <v>1751</v>
      </c>
      <c r="H1540" s="14"/>
    </row>
    <row r="1541" spans="1:8" x14ac:dyDescent="0.25">
      <c r="A1541" t="s">
        <v>1752</v>
      </c>
      <c r="H1541" s="14"/>
    </row>
    <row r="1542" spans="1:8" x14ac:dyDescent="0.25">
      <c r="A1542" t="s">
        <v>707</v>
      </c>
      <c r="H1542" s="14"/>
    </row>
    <row r="1543" spans="1:8" x14ac:dyDescent="0.25">
      <c r="A1543" t="s">
        <v>1753</v>
      </c>
      <c r="H1543" s="14"/>
    </row>
    <row r="1544" spans="1:8" x14ac:dyDescent="0.25">
      <c r="A1544" t="s">
        <v>1754</v>
      </c>
      <c r="H1544" s="14"/>
    </row>
    <row r="1545" spans="1:8" x14ac:dyDescent="0.25">
      <c r="A1545" t="s">
        <v>1755</v>
      </c>
      <c r="H1545" s="14"/>
    </row>
    <row r="1546" spans="1:8" x14ac:dyDescent="0.25">
      <c r="A1546" t="s">
        <v>708</v>
      </c>
      <c r="H1546" s="14"/>
    </row>
    <row r="1547" spans="1:8" x14ac:dyDescent="0.25">
      <c r="A1547" t="s">
        <v>1756</v>
      </c>
      <c r="H1547" s="14"/>
    </row>
    <row r="1548" spans="1:8" x14ac:dyDescent="0.25">
      <c r="A1548" t="s">
        <v>709</v>
      </c>
      <c r="H1548" s="14"/>
    </row>
    <row r="1549" spans="1:8" x14ac:dyDescent="0.25">
      <c r="A1549" t="s">
        <v>1757</v>
      </c>
      <c r="H1549" s="14"/>
    </row>
    <row r="1550" spans="1:8" x14ac:dyDescent="0.25">
      <c r="A1550" t="s">
        <v>710</v>
      </c>
      <c r="H1550" s="14"/>
    </row>
    <row r="1551" spans="1:8" x14ac:dyDescent="0.25">
      <c r="A1551" t="s">
        <v>1758</v>
      </c>
      <c r="H1551" s="14"/>
    </row>
    <row r="1552" spans="1:8" x14ac:dyDescent="0.25">
      <c r="A1552" t="s">
        <v>711</v>
      </c>
      <c r="H1552" s="14"/>
    </row>
    <row r="1553" spans="1:8" x14ac:dyDescent="0.25">
      <c r="A1553" t="s">
        <v>712</v>
      </c>
      <c r="H1553" s="14"/>
    </row>
    <row r="1554" spans="1:8" x14ac:dyDescent="0.25">
      <c r="A1554" t="s">
        <v>713</v>
      </c>
      <c r="H1554" s="14"/>
    </row>
    <row r="1555" spans="1:8" x14ac:dyDescent="0.25">
      <c r="A1555" t="s">
        <v>1759</v>
      </c>
      <c r="H1555" s="14"/>
    </row>
    <row r="1556" spans="1:8" x14ac:dyDescent="0.25">
      <c r="A1556" t="s">
        <v>1760</v>
      </c>
      <c r="H1556" s="14"/>
    </row>
    <row r="1557" spans="1:8" x14ac:dyDescent="0.25">
      <c r="A1557" t="s">
        <v>1761</v>
      </c>
      <c r="H1557" s="14"/>
    </row>
    <row r="1558" spans="1:8" x14ac:dyDescent="0.25">
      <c r="A1558" t="s">
        <v>714</v>
      </c>
      <c r="H1558" s="14"/>
    </row>
    <row r="1559" spans="1:8" x14ac:dyDescent="0.25">
      <c r="A1559" t="s">
        <v>1762</v>
      </c>
      <c r="H1559" s="14"/>
    </row>
    <row r="1560" spans="1:8" x14ac:dyDescent="0.25">
      <c r="A1560" t="s">
        <v>1763</v>
      </c>
      <c r="H1560" s="14"/>
    </row>
    <row r="1561" spans="1:8" x14ac:dyDescent="0.25">
      <c r="A1561" t="s">
        <v>715</v>
      </c>
      <c r="H1561" s="14"/>
    </row>
    <row r="1562" spans="1:8" x14ac:dyDescent="0.25">
      <c r="A1562" t="s">
        <v>1764</v>
      </c>
      <c r="H1562" s="14"/>
    </row>
    <row r="1563" spans="1:8" x14ac:dyDescent="0.25">
      <c r="A1563" t="s">
        <v>1765</v>
      </c>
      <c r="H1563" s="14"/>
    </row>
    <row r="1564" spans="1:8" x14ac:dyDescent="0.25">
      <c r="A1564" t="s">
        <v>716</v>
      </c>
      <c r="H1564" s="14"/>
    </row>
    <row r="1565" spans="1:8" x14ac:dyDescent="0.25">
      <c r="A1565" t="s">
        <v>717</v>
      </c>
      <c r="H1565" s="14"/>
    </row>
    <row r="1566" spans="1:8" x14ac:dyDescent="0.25">
      <c r="A1566" t="s">
        <v>1766</v>
      </c>
      <c r="H1566" s="14"/>
    </row>
    <row r="1567" spans="1:8" x14ac:dyDescent="0.25">
      <c r="A1567" t="s">
        <v>718</v>
      </c>
      <c r="H1567" s="14"/>
    </row>
    <row r="1568" spans="1:8" x14ac:dyDescent="0.25">
      <c r="A1568" t="s">
        <v>1767</v>
      </c>
      <c r="H1568" s="14"/>
    </row>
    <row r="1569" spans="1:8" x14ac:dyDescent="0.25">
      <c r="A1569" t="s">
        <v>1768</v>
      </c>
      <c r="H1569" s="14"/>
    </row>
    <row r="1570" spans="1:8" x14ac:dyDescent="0.25">
      <c r="A1570" t="s">
        <v>1769</v>
      </c>
      <c r="H1570" s="14"/>
    </row>
    <row r="1571" spans="1:8" x14ac:dyDescent="0.25">
      <c r="A1571" t="s">
        <v>719</v>
      </c>
      <c r="H1571" s="14"/>
    </row>
    <row r="1572" spans="1:8" x14ac:dyDescent="0.25">
      <c r="A1572" t="s">
        <v>720</v>
      </c>
      <c r="H1572" s="14"/>
    </row>
    <row r="1573" spans="1:8" x14ac:dyDescent="0.25">
      <c r="A1573" t="s">
        <v>721</v>
      </c>
      <c r="H1573" s="14"/>
    </row>
    <row r="1574" spans="1:8" x14ac:dyDescent="0.25">
      <c r="A1574" t="s">
        <v>722</v>
      </c>
      <c r="H1574" s="14"/>
    </row>
    <row r="1575" spans="1:8" x14ac:dyDescent="0.25">
      <c r="A1575" t="s">
        <v>2046</v>
      </c>
      <c r="H1575" s="14"/>
    </row>
    <row r="1576" spans="1:8" x14ac:dyDescent="0.25">
      <c r="A1576" t="s">
        <v>723</v>
      </c>
      <c r="H1576" s="14"/>
    </row>
    <row r="1577" spans="1:8" x14ac:dyDescent="0.25">
      <c r="A1577" t="s">
        <v>724</v>
      </c>
      <c r="H1577" s="14"/>
    </row>
    <row r="1578" spans="1:8" x14ac:dyDescent="0.25">
      <c r="A1578" t="s">
        <v>1770</v>
      </c>
      <c r="H1578" s="14"/>
    </row>
    <row r="1579" spans="1:8" x14ac:dyDescent="0.25">
      <c r="A1579" t="s">
        <v>1771</v>
      </c>
      <c r="H1579" s="14"/>
    </row>
    <row r="1580" spans="1:8" x14ac:dyDescent="0.25">
      <c r="A1580" t="s">
        <v>725</v>
      </c>
      <c r="H1580" s="14"/>
    </row>
    <row r="1581" spans="1:8" x14ac:dyDescent="0.25">
      <c r="A1581" t="s">
        <v>1772</v>
      </c>
      <c r="H1581" s="14"/>
    </row>
    <row r="1582" spans="1:8" x14ac:dyDescent="0.25">
      <c r="A1582" t="s">
        <v>1773</v>
      </c>
      <c r="H1582" s="14"/>
    </row>
    <row r="1583" spans="1:8" x14ac:dyDescent="0.25">
      <c r="A1583" t="s">
        <v>1774</v>
      </c>
      <c r="H1583" s="14"/>
    </row>
    <row r="1584" spans="1:8" x14ac:dyDescent="0.25">
      <c r="A1584" t="s">
        <v>726</v>
      </c>
      <c r="H1584" s="14"/>
    </row>
    <row r="1585" spans="1:8" x14ac:dyDescent="0.25">
      <c r="A1585" t="s">
        <v>1775</v>
      </c>
      <c r="H1585" s="14"/>
    </row>
    <row r="1586" spans="1:8" x14ac:dyDescent="0.25">
      <c r="A1586" t="s">
        <v>727</v>
      </c>
      <c r="H1586" s="14"/>
    </row>
    <row r="1587" spans="1:8" x14ac:dyDescent="0.25">
      <c r="A1587" t="s">
        <v>1776</v>
      </c>
      <c r="H1587" s="14"/>
    </row>
    <row r="1588" spans="1:8" x14ac:dyDescent="0.25">
      <c r="A1588" t="s">
        <v>728</v>
      </c>
      <c r="H1588" s="14"/>
    </row>
    <row r="1589" spans="1:8" x14ac:dyDescent="0.25">
      <c r="A1589" t="s">
        <v>729</v>
      </c>
      <c r="H1589" s="14"/>
    </row>
    <row r="1590" spans="1:8" x14ac:dyDescent="0.25">
      <c r="A1590" t="s">
        <v>730</v>
      </c>
      <c r="H1590" s="14"/>
    </row>
    <row r="1591" spans="1:8" x14ac:dyDescent="0.25">
      <c r="A1591" t="s">
        <v>731</v>
      </c>
      <c r="H1591" s="14"/>
    </row>
    <row r="1592" spans="1:8" x14ac:dyDescent="0.25">
      <c r="A1592" t="s">
        <v>732</v>
      </c>
      <c r="H1592" s="14"/>
    </row>
    <row r="1593" spans="1:8" x14ac:dyDescent="0.25">
      <c r="A1593" t="s">
        <v>733</v>
      </c>
      <c r="H1593" s="14"/>
    </row>
    <row r="1594" spans="1:8" x14ac:dyDescent="0.25">
      <c r="A1594" t="s">
        <v>1777</v>
      </c>
      <c r="H1594" s="14"/>
    </row>
    <row r="1595" spans="1:8" x14ac:dyDescent="0.25">
      <c r="A1595" t="s">
        <v>734</v>
      </c>
      <c r="H1595" s="14"/>
    </row>
    <row r="1596" spans="1:8" x14ac:dyDescent="0.25">
      <c r="A1596" t="s">
        <v>1778</v>
      </c>
      <c r="H1596" s="14"/>
    </row>
    <row r="1597" spans="1:8" x14ac:dyDescent="0.25">
      <c r="A1597" t="s">
        <v>735</v>
      </c>
      <c r="H1597" s="14"/>
    </row>
    <row r="1598" spans="1:8" x14ac:dyDescent="0.25">
      <c r="A1598" t="s">
        <v>736</v>
      </c>
      <c r="H1598" s="14"/>
    </row>
    <row r="1599" spans="1:8" x14ac:dyDescent="0.25">
      <c r="A1599" t="s">
        <v>1779</v>
      </c>
      <c r="H1599" s="14"/>
    </row>
    <row r="1600" spans="1:8" x14ac:dyDescent="0.25">
      <c r="A1600" t="s">
        <v>1780</v>
      </c>
      <c r="H1600" s="14"/>
    </row>
    <row r="1601" spans="1:8" x14ac:dyDescent="0.25">
      <c r="A1601" t="s">
        <v>737</v>
      </c>
      <c r="H1601" s="14"/>
    </row>
    <row r="1602" spans="1:8" x14ac:dyDescent="0.25">
      <c r="A1602" t="s">
        <v>1781</v>
      </c>
      <c r="H1602" s="14"/>
    </row>
    <row r="1603" spans="1:8" x14ac:dyDescent="0.25">
      <c r="A1603" t="s">
        <v>1782</v>
      </c>
      <c r="H1603" s="14"/>
    </row>
    <row r="1604" spans="1:8" x14ac:dyDescent="0.25">
      <c r="A1604" t="s">
        <v>1783</v>
      </c>
      <c r="H1604" s="14"/>
    </row>
    <row r="1605" spans="1:8" x14ac:dyDescent="0.25">
      <c r="A1605" t="s">
        <v>738</v>
      </c>
      <c r="H1605" s="14"/>
    </row>
    <row r="1606" spans="1:8" x14ac:dyDescent="0.25">
      <c r="A1606" t="s">
        <v>1784</v>
      </c>
      <c r="H1606" s="14"/>
    </row>
    <row r="1607" spans="1:8" x14ac:dyDescent="0.25">
      <c r="A1607" t="s">
        <v>739</v>
      </c>
      <c r="H1607" s="14"/>
    </row>
    <row r="1608" spans="1:8" x14ac:dyDescent="0.25">
      <c r="A1608" t="s">
        <v>1785</v>
      </c>
      <c r="H1608" s="14"/>
    </row>
    <row r="1609" spans="1:8" x14ac:dyDescent="0.25">
      <c r="A1609" t="s">
        <v>740</v>
      </c>
      <c r="H1609" s="14"/>
    </row>
    <row r="1610" spans="1:8" x14ac:dyDescent="0.25">
      <c r="A1610" t="s">
        <v>1786</v>
      </c>
      <c r="H1610" s="14"/>
    </row>
    <row r="1611" spans="1:8" x14ac:dyDescent="0.25">
      <c r="A1611" t="s">
        <v>741</v>
      </c>
      <c r="H1611" s="14"/>
    </row>
    <row r="1612" spans="1:8" x14ac:dyDescent="0.25">
      <c r="A1612" t="s">
        <v>742</v>
      </c>
      <c r="H1612" s="14"/>
    </row>
    <row r="1613" spans="1:8" x14ac:dyDescent="0.25">
      <c r="A1613" t="s">
        <v>743</v>
      </c>
      <c r="H1613" s="14"/>
    </row>
    <row r="1614" spans="1:8" x14ac:dyDescent="0.25">
      <c r="A1614" t="s">
        <v>1787</v>
      </c>
      <c r="H1614" s="14"/>
    </row>
    <row r="1615" spans="1:8" x14ac:dyDescent="0.25">
      <c r="A1615" t="s">
        <v>1788</v>
      </c>
      <c r="H1615" s="14"/>
    </row>
    <row r="1616" spans="1:8" x14ac:dyDescent="0.25">
      <c r="A1616" t="s">
        <v>1789</v>
      </c>
      <c r="H1616" s="14"/>
    </row>
    <row r="1617" spans="1:8" x14ac:dyDescent="0.25">
      <c r="A1617" t="s">
        <v>744</v>
      </c>
      <c r="H1617" s="14"/>
    </row>
    <row r="1618" spans="1:8" x14ac:dyDescent="0.25">
      <c r="A1618" t="s">
        <v>1790</v>
      </c>
      <c r="H1618" s="14"/>
    </row>
    <row r="1619" spans="1:8" x14ac:dyDescent="0.25">
      <c r="A1619" t="s">
        <v>1791</v>
      </c>
      <c r="H1619" s="14"/>
    </row>
    <row r="1620" spans="1:8" x14ac:dyDescent="0.25">
      <c r="A1620" t="s">
        <v>745</v>
      </c>
      <c r="H1620" s="14"/>
    </row>
    <row r="1621" spans="1:8" x14ac:dyDescent="0.25">
      <c r="A1621" t="s">
        <v>1792</v>
      </c>
      <c r="H1621" s="14"/>
    </row>
    <row r="1622" spans="1:8" x14ac:dyDescent="0.25">
      <c r="A1622" t="s">
        <v>1793</v>
      </c>
      <c r="H1622" s="14"/>
    </row>
    <row r="1623" spans="1:8" x14ac:dyDescent="0.25">
      <c r="A1623" t="s">
        <v>746</v>
      </c>
      <c r="H1623" s="14"/>
    </row>
    <row r="1624" spans="1:8" x14ac:dyDescent="0.25">
      <c r="A1624" t="s">
        <v>747</v>
      </c>
      <c r="H1624" s="14"/>
    </row>
    <row r="1625" spans="1:8" x14ac:dyDescent="0.25">
      <c r="A1625" t="s">
        <v>1794</v>
      </c>
      <c r="H1625" s="14"/>
    </row>
    <row r="1626" spans="1:8" x14ac:dyDescent="0.25">
      <c r="A1626" t="s">
        <v>748</v>
      </c>
      <c r="H1626" s="14"/>
    </row>
    <row r="1627" spans="1:8" x14ac:dyDescent="0.25">
      <c r="A1627" t="s">
        <v>1795</v>
      </c>
      <c r="H1627" s="14"/>
    </row>
    <row r="1628" spans="1:8" x14ac:dyDescent="0.25">
      <c r="A1628" t="s">
        <v>1796</v>
      </c>
      <c r="H1628" s="14"/>
    </row>
    <row r="1629" spans="1:8" x14ac:dyDescent="0.25">
      <c r="A1629" t="s">
        <v>1797</v>
      </c>
      <c r="H1629" s="14"/>
    </row>
    <row r="1630" spans="1:8" x14ac:dyDescent="0.25">
      <c r="A1630" t="s">
        <v>749</v>
      </c>
      <c r="H1630" s="14"/>
    </row>
    <row r="1631" spans="1:8" x14ac:dyDescent="0.25">
      <c r="A1631" t="s">
        <v>750</v>
      </c>
      <c r="H1631" s="14"/>
    </row>
    <row r="1632" spans="1:8" x14ac:dyDescent="0.25">
      <c r="A1632" t="s">
        <v>751</v>
      </c>
      <c r="H1632" s="14"/>
    </row>
    <row r="1633" spans="1:8" x14ac:dyDescent="0.25">
      <c r="A1633" t="s">
        <v>752</v>
      </c>
      <c r="H1633" s="14"/>
    </row>
    <row r="1634" spans="1:8" x14ac:dyDescent="0.25">
      <c r="A1634" t="s">
        <v>2047</v>
      </c>
      <c r="H1634" s="14"/>
    </row>
    <row r="1635" spans="1:8" x14ac:dyDescent="0.25">
      <c r="A1635" t="s">
        <v>753</v>
      </c>
      <c r="H1635" s="14"/>
    </row>
    <row r="1636" spans="1:8" x14ac:dyDescent="0.25">
      <c r="A1636" t="s">
        <v>754</v>
      </c>
      <c r="H1636" s="14"/>
    </row>
    <row r="1637" spans="1:8" x14ac:dyDescent="0.25">
      <c r="A1637" t="s">
        <v>1798</v>
      </c>
      <c r="H1637" s="14"/>
    </row>
    <row r="1638" spans="1:8" x14ac:dyDescent="0.25">
      <c r="A1638" t="s">
        <v>1799</v>
      </c>
      <c r="H1638" s="14"/>
    </row>
    <row r="1639" spans="1:8" x14ac:dyDescent="0.25">
      <c r="A1639" t="s">
        <v>755</v>
      </c>
      <c r="H1639" s="14"/>
    </row>
    <row r="1640" spans="1:8" x14ac:dyDescent="0.25">
      <c r="A1640" t="s">
        <v>1800</v>
      </c>
      <c r="H1640" s="14"/>
    </row>
    <row r="1641" spans="1:8" x14ac:dyDescent="0.25">
      <c r="A1641" t="s">
        <v>1801</v>
      </c>
      <c r="H1641" s="14"/>
    </row>
    <row r="1642" spans="1:8" x14ac:dyDescent="0.25">
      <c r="A1642" t="s">
        <v>1802</v>
      </c>
      <c r="H1642" s="14"/>
    </row>
    <row r="1643" spans="1:8" x14ac:dyDescent="0.25">
      <c r="A1643" t="s">
        <v>756</v>
      </c>
      <c r="H1643" s="14"/>
    </row>
    <row r="1644" spans="1:8" x14ac:dyDescent="0.25">
      <c r="A1644" t="s">
        <v>1803</v>
      </c>
      <c r="H1644" s="14"/>
    </row>
    <row r="1645" spans="1:8" x14ac:dyDescent="0.25">
      <c r="A1645" t="s">
        <v>757</v>
      </c>
      <c r="H1645" s="14"/>
    </row>
    <row r="1646" spans="1:8" x14ac:dyDescent="0.25">
      <c r="A1646" t="s">
        <v>1804</v>
      </c>
      <c r="H1646" s="14"/>
    </row>
    <row r="1647" spans="1:8" x14ac:dyDescent="0.25">
      <c r="A1647" t="s">
        <v>758</v>
      </c>
      <c r="H1647" s="14"/>
    </row>
    <row r="1648" spans="1:8" x14ac:dyDescent="0.25">
      <c r="A1648" t="s">
        <v>759</v>
      </c>
      <c r="H1648" s="14"/>
    </row>
    <row r="1649" spans="1:8" x14ac:dyDescent="0.25">
      <c r="A1649" t="s">
        <v>760</v>
      </c>
      <c r="H1649" s="14"/>
    </row>
    <row r="1650" spans="1:8" x14ac:dyDescent="0.25">
      <c r="A1650" t="s">
        <v>761</v>
      </c>
      <c r="H1650" s="14"/>
    </row>
    <row r="1651" spans="1:8" x14ac:dyDescent="0.25">
      <c r="A1651" t="s">
        <v>762</v>
      </c>
      <c r="H1651" s="14"/>
    </row>
    <row r="1652" spans="1:8" x14ac:dyDescent="0.25">
      <c r="A1652" t="s">
        <v>763</v>
      </c>
      <c r="H1652" s="14"/>
    </row>
    <row r="1653" spans="1:8" x14ac:dyDescent="0.25">
      <c r="A1653" t="s">
        <v>1805</v>
      </c>
      <c r="H1653" s="14"/>
    </row>
    <row r="1654" spans="1:8" x14ac:dyDescent="0.25">
      <c r="A1654" t="s">
        <v>764</v>
      </c>
      <c r="H1654" s="14"/>
    </row>
    <row r="1655" spans="1:8" x14ac:dyDescent="0.25">
      <c r="A1655" t="s">
        <v>1806</v>
      </c>
      <c r="H1655" s="14"/>
    </row>
    <row r="1656" spans="1:8" x14ac:dyDescent="0.25">
      <c r="A1656" t="s">
        <v>765</v>
      </c>
      <c r="H1656" s="14"/>
    </row>
    <row r="1657" spans="1:8" x14ac:dyDescent="0.25">
      <c r="A1657" t="s">
        <v>766</v>
      </c>
      <c r="H1657" s="14"/>
    </row>
    <row r="1658" spans="1:8" x14ac:dyDescent="0.25">
      <c r="A1658" t="s">
        <v>1807</v>
      </c>
      <c r="H1658" s="14"/>
    </row>
    <row r="1659" spans="1:8" x14ac:dyDescent="0.25">
      <c r="A1659" t="s">
        <v>1808</v>
      </c>
      <c r="H1659" s="14"/>
    </row>
    <row r="1660" spans="1:8" x14ac:dyDescent="0.25">
      <c r="A1660" t="s">
        <v>767</v>
      </c>
      <c r="H1660" s="14"/>
    </row>
    <row r="1661" spans="1:8" x14ac:dyDescent="0.25">
      <c r="A1661" t="s">
        <v>1809</v>
      </c>
      <c r="H1661" s="14"/>
    </row>
    <row r="1662" spans="1:8" x14ac:dyDescent="0.25">
      <c r="A1662" t="s">
        <v>1810</v>
      </c>
      <c r="H1662" s="14"/>
    </row>
    <row r="1663" spans="1:8" x14ac:dyDescent="0.25">
      <c r="A1663" t="s">
        <v>1811</v>
      </c>
      <c r="H1663" s="14"/>
    </row>
    <row r="1664" spans="1:8" x14ac:dyDescent="0.25">
      <c r="A1664" t="s">
        <v>768</v>
      </c>
      <c r="H1664" s="14"/>
    </row>
    <row r="1665" spans="1:8" x14ac:dyDescent="0.25">
      <c r="A1665" t="s">
        <v>1812</v>
      </c>
      <c r="H1665" s="14"/>
    </row>
    <row r="1666" spans="1:8" x14ac:dyDescent="0.25">
      <c r="A1666" t="s">
        <v>769</v>
      </c>
      <c r="H1666" s="14"/>
    </row>
    <row r="1667" spans="1:8" x14ac:dyDescent="0.25">
      <c r="A1667" t="s">
        <v>1813</v>
      </c>
      <c r="H1667" s="14"/>
    </row>
    <row r="1668" spans="1:8" x14ac:dyDescent="0.25">
      <c r="A1668" t="s">
        <v>770</v>
      </c>
      <c r="H1668" s="14"/>
    </row>
    <row r="1669" spans="1:8" x14ac:dyDescent="0.25">
      <c r="A1669" t="s">
        <v>1814</v>
      </c>
      <c r="H1669" s="14"/>
    </row>
    <row r="1670" spans="1:8" x14ac:dyDescent="0.25">
      <c r="A1670" t="s">
        <v>771</v>
      </c>
      <c r="H1670" s="14"/>
    </row>
    <row r="1671" spans="1:8" x14ac:dyDescent="0.25">
      <c r="A1671" t="s">
        <v>772</v>
      </c>
      <c r="H1671" s="14"/>
    </row>
    <row r="1672" spans="1:8" x14ac:dyDescent="0.25">
      <c r="A1672" t="s">
        <v>773</v>
      </c>
      <c r="H1672" s="14"/>
    </row>
    <row r="1673" spans="1:8" x14ac:dyDescent="0.25">
      <c r="A1673" t="s">
        <v>1815</v>
      </c>
      <c r="H1673" s="14"/>
    </row>
    <row r="1674" spans="1:8" x14ac:dyDescent="0.25">
      <c r="A1674" t="s">
        <v>1816</v>
      </c>
      <c r="H1674" s="14"/>
    </row>
    <row r="1675" spans="1:8" x14ac:dyDescent="0.25">
      <c r="A1675" t="s">
        <v>1817</v>
      </c>
      <c r="H1675" s="14"/>
    </row>
    <row r="1676" spans="1:8" x14ac:dyDescent="0.25">
      <c r="A1676" t="s">
        <v>774</v>
      </c>
      <c r="H1676" s="14"/>
    </row>
    <row r="1677" spans="1:8" x14ac:dyDescent="0.25">
      <c r="A1677" t="s">
        <v>1818</v>
      </c>
      <c r="H1677" s="14"/>
    </row>
    <row r="1678" spans="1:8" x14ac:dyDescent="0.25">
      <c r="A1678" t="s">
        <v>1819</v>
      </c>
      <c r="H1678" s="14"/>
    </row>
    <row r="1679" spans="1:8" x14ac:dyDescent="0.25">
      <c r="A1679" t="s">
        <v>775</v>
      </c>
      <c r="H1679" s="14"/>
    </row>
    <row r="1680" spans="1:8" x14ac:dyDescent="0.25">
      <c r="A1680" t="s">
        <v>1820</v>
      </c>
      <c r="H1680" s="14"/>
    </row>
    <row r="1681" spans="1:8" x14ac:dyDescent="0.25">
      <c r="A1681" t="s">
        <v>1821</v>
      </c>
      <c r="H1681" s="14"/>
    </row>
    <row r="1682" spans="1:8" x14ac:dyDescent="0.25">
      <c r="A1682" t="s">
        <v>776</v>
      </c>
      <c r="H1682" s="14"/>
    </row>
    <row r="1683" spans="1:8" x14ac:dyDescent="0.25">
      <c r="A1683" t="s">
        <v>777</v>
      </c>
      <c r="H1683" s="14"/>
    </row>
    <row r="1684" spans="1:8" x14ac:dyDescent="0.25">
      <c r="A1684" t="s">
        <v>1822</v>
      </c>
      <c r="H1684" s="14"/>
    </row>
    <row r="1685" spans="1:8" x14ac:dyDescent="0.25">
      <c r="A1685" t="s">
        <v>778</v>
      </c>
      <c r="H1685" s="14"/>
    </row>
    <row r="1686" spans="1:8" x14ac:dyDescent="0.25">
      <c r="A1686" t="s">
        <v>1823</v>
      </c>
      <c r="H1686" s="14"/>
    </row>
    <row r="1687" spans="1:8" x14ac:dyDescent="0.25">
      <c r="A1687" t="s">
        <v>1824</v>
      </c>
      <c r="H1687" s="14"/>
    </row>
    <row r="1688" spans="1:8" x14ac:dyDescent="0.25">
      <c r="A1688" t="s">
        <v>1825</v>
      </c>
      <c r="H1688" s="14"/>
    </row>
    <row r="1689" spans="1:8" x14ac:dyDescent="0.25">
      <c r="A1689" t="s">
        <v>779</v>
      </c>
      <c r="H1689" s="14"/>
    </row>
    <row r="1690" spans="1:8" x14ac:dyDescent="0.25">
      <c r="A1690" t="s">
        <v>780</v>
      </c>
      <c r="H1690" s="14"/>
    </row>
    <row r="1691" spans="1:8" x14ac:dyDescent="0.25">
      <c r="A1691" t="s">
        <v>781</v>
      </c>
      <c r="H1691" s="14"/>
    </row>
    <row r="1692" spans="1:8" x14ac:dyDescent="0.25">
      <c r="A1692" t="s">
        <v>782</v>
      </c>
      <c r="H1692" s="14"/>
    </row>
    <row r="1693" spans="1:8" x14ac:dyDescent="0.25">
      <c r="A1693" t="s">
        <v>2048</v>
      </c>
      <c r="H1693" s="14"/>
    </row>
    <row r="1694" spans="1:8" x14ac:dyDescent="0.25">
      <c r="A1694" t="s">
        <v>783</v>
      </c>
      <c r="H1694" s="14"/>
    </row>
    <row r="1695" spans="1:8" x14ac:dyDescent="0.25">
      <c r="A1695" t="s">
        <v>784</v>
      </c>
      <c r="H1695" s="14"/>
    </row>
    <row r="1696" spans="1:8" x14ac:dyDescent="0.25">
      <c r="A1696" t="s">
        <v>1826</v>
      </c>
      <c r="H1696" s="14"/>
    </row>
    <row r="1697" spans="1:8" x14ac:dyDescent="0.25">
      <c r="A1697" t="s">
        <v>1827</v>
      </c>
      <c r="H1697" s="14"/>
    </row>
    <row r="1698" spans="1:8" x14ac:dyDescent="0.25">
      <c r="A1698" t="s">
        <v>785</v>
      </c>
      <c r="H1698" s="14"/>
    </row>
    <row r="1699" spans="1:8" x14ac:dyDescent="0.25">
      <c r="A1699" t="s">
        <v>1828</v>
      </c>
      <c r="H1699" s="14"/>
    </row>
    <row r="1700" spans="1:8" x14ac:dyDescent="0.25">
      <c r="A1700" t="s">
        <v>1829</v>
      </c>
      <c r="H1700" s="14"/>
    </row>
    <row r="1701" spans="1:8" x14ac:dyDescent="0.25">
      <c r="A1701" t="s">
        <v>1830</v>
      </c>
      <c r="H1701" s="14"/>
    </row>
    <row r="1702" spans="1:8" x14ac:dyDescent="0.25">
      <c r="A1702" t="s">
        <v>786</v>
      </c>
      <c r="H1702" s="14"/>
    </row>
    <row r="1703" spans="1:8" x14ac:dyDescent="0.25">
      <c r="A1703" t="s">
        <v>1831</v>
      </c>
      <c r="H1703" s="14"/>
    </row>
    <row r="1704" spans="1:8" x14ac:dyDescent="0.25">
      <c r="A1704" t="s">
        <v>787</v>
      </c>
      <c r="H1704" s="14"/>
    </row>
    <row r="1705" spans="1:8" x14ac:dyDescent="0.25">
      <c r="A1705" t="s">
        <v>1832</v>
      </c>
      <c r="H1705" s="14"/>
    </row>
    <row r="1706" spans="1:8" x14ac:dyDescent="0.25">
      <c r="A1706" t="s">
        <v>788</v>
      </c>
      <c r="H1706" s="14"/>
    </row>
    <row r="1707" spans="1:8" x14ac:dyDescent="0.25">
      <c r="A1707" t="s">
        <v>789</v>
      </c>
      <c r="H1707" s="14"/>
    </row>
    <row r="1708" spans="1:8" x14ac:dyDescent="0.25">
      <c r="A1708" t="s">
        <v>790</v>
      </c>
      <c r="H1708" s="14"/>
    </row>
    <row r="1709" spans="1:8" x14ac:dyDescent="0.25">
      <c r="A1709" t="s">
        <v>791</v>
      </c>
      <c r="H1709" s="14"/>
    </row>
    <row r="1710" spans="1:8" x14ac:dyDescent="0.25">
      <c r="A1710" t="s">
        <v>792</v>
      </c>
      <c r="H1710" s="14"/>
    </row>
    <row r="1711" spans="1:8" x14ac:dyDescent="0.25">
      <c r="A1711" t="s">
        <v>793</v>
      </c>
      <c r="H1711" s="14"/>
    </row>
    <row r="1712" spans="1:8" x14ac:dyDescent="0.25">
      <c r="A1712" t="s">
        <v>1833</v>
      </c>
      <c r="H1712" s="14"/>
    </row>
    <row r="1713" spans="1:8" x14ac:dyDescent="0.25">
      <c r="A1713" t="s">
        <v>794</v>
      </c>
      <c r="H1713" s="14"/>
    </row>
    <row r="1714" spans="1:8" x14ac:dyDescent="0.25">
      <c r="A1714" t="s">
        <v>1834</v>
      </c>
      <c r="H1714" s="14"/>
    </row>
    <row r="1715" spans="1:8" x14ac:dyDescent="0.25">
      <c r="A1715" t="s">
        <v>795</v>
      </c>
      <c r="H1715" s="14"/>
    </row>
    <row r="1716" spans="1:8" x14ac:dyDescent="0.25">
      <c r="A1716" t="s">
        <v>796</v>
      </c>
      <c r="H1716" s="14"/>
    </row>
    <row r="1717" spans="1:8" x14ac:dyDescent="0.25">
      <c r="A1717" t="s">
        <v>1835</v>
      </c>
      <c r="H1717" s="14"/>
    </row>
    <row r="1718" spans="1:8" x14ac:dyDescent="0.25">
      <c r="A1718" t="s">
        <v>1836</v>
      </c>
      <c r="H1718" s="14"/>
    </row>
    <row r="1719" spans="1:8" x14ac:dyDescent="0.25">
      <c r="A1719" t="s">
        <v>797</v>
      </c>
      <c r="H1719" s="14"/>
    </row>
    <row r="1720" spans="1:8" x14ac:dyDescent="0.25">
      <c r="A1720" t="s">
        <v>1837</v>
      </c>
      <c r="H1720" s="14"/>
    </row>
    <row r="1721" spans="1:8" x14ac:dyDescent="0.25">
      <c r="A1721" t="s">
        <v>1838</v>
      </c>
      <c r="H1721" s="14"/>
    </row>
    <row r="1722" spans="1:8" x14ac:dyDescent="0.25">
      <c r="A1722" t="s">
        <v>1839</v>
      </c>
      <c r="H1722" s="14"/>
    </row>
    <row r="1723" spans="1:8" x14ac:dyDescent="0.25">
      <c r="A1723" t="s">
        <v>798</v>
      </c>
      <c r="H1723" s="14"/>
    </row>
    <row r="1724" spans="1:8" x14ac:dyDescent="0.25">
      <c r="A1724" t="s">
        <v>1840</v>
      </c>
      <c r="H1724" s="14"/>
    </row>
    <row r="1725" spans="1:8" x14ac:dyDescent="0.25">
      <c r="A1725" t="s">
        <v>799</v>
      </c>
      <c r="H1725" s="14"/>
    </row>
    <row r="1726" spans="1:8" x14ac:dyDescent="0.25">
      <c r="A1726" t="s">
        <v>1841</v>
      </c>
      <c r="H1726" s="14"/>
    </row>
    <row r="1727" spans="1:8" x14ac:dyDescent="0.25">
      <c r="A1727" t="s">
        <v>800</v>
      </c>
      <c r="H1727" s="14"/>
    </row>
    <row r="1728" spans="1:8" x14ac:dyDescent="0.25">
      <c r="A1728" t="s">
        <v>1842</v>
      </c>
      <c r="H1728" s="14"/>
    </row>
    <row r="1729" spans="1:8" x14ac:dyDescent="0.25">
      <c r="A1729" t="s">
        <v>801</v>
      </c>
      <c r="H1729" s="14"/>
    </row>
    <row r="1730" spans="1:8" x14ac:dyDescent="0.25">
      <c r="A1730" t="s">
        <v>802</v>
      </c>
      <c r="H1730" s="14"/>
    </row>
    <row r="1731" spans="1:8" x14ac:dyDescent="0.25">
      <c r="A1731" t="s">
        <v>803</v>
      </c>
      <c r="H1731" s="14"/>
    </row>
    <row r="1732" spans="1:8" x14ac:dyDescent="0.25">
      <c r="A1732" t="s">
        <v>1843</v>
      </c>
      <c r="H1732" s="14"/>
    </row>
    <row r="1733" spans="1:8" x14ac:dyDescent="0.25">
      <c r="A1733" t="s">
        <v>1844</v>
      </c>
      <c r="H1733" s="14"/>
    </row>
    <row r="1734" spans="1:8" x14ac:dyDescent="0.25">
      <c r="A1734" t="s">
        <v>1845</v>
      </c>
      <c r="H1734" s="14"/>
    </row>
    <row r="1735" spans="1:8" x14ac:dyDescent="0.25">
      <c r="A1735" t="s">
        <v>804</v>
      </c>
      <c r="H1735" s="14"/>
    </row>
    <row r="1736" spans="1:8" x14ac:dyDescent="0.25">
      <c r="A1736" t="s">
        <v>1846</v>
      </c>
      <c r="H1736" s="14"/>
    </row>
    <row r="1737" spans="1:8" x14ac:dyDescent="0.25">
      <c r="A1737" t="s">
        <v>1847</v>
      </c>
      <c r="H1737" s="14"/>
    </row>
    <row r="1738" spans="1:8" x14ac:dyDescent="0.25">
      <c r="A1738" t="s">
        <v>805</v>
      </c>
      <c r="H1738" s="14"/>
    </row>
    <row r="1739" spans="1:8" x14ac:dyDescent="0.25">
      <c r="A1739" t="s">
        <v>1848</v>
      </c>
      <c r="H1739" s="14"/>
    </row>
    <row r="1740" spans="1:8" x14ac:dyDescent="0.25">
      <c r="A1740" t="s">
        <v>1849</v>
      </c>
      <c r="H1740" s="14"/>
    </row>
    <row r="1741" spans="1:8" x14ac:dyDescent="0.25">
      <c r="A1741" t="s">
        <v>806</v>
      </c>
      <c r="H1741" s="14"/>
    </row>
    <row r="1742" spans="1:8" x14ac:dyDescent="0.25">
      <c r="A1742" t="s">
        <v>807</v>
      </c>
      <c r="H1742" s="14"/>
    </row>
    <row r="1743" spans="1:8" x14ac:dyDescent="0.25">
      <c r="A1743" t="s">
        <v>1850</v>
      </c>
      <c r="H1743" s="14"/>
    </row>
    <row r="1744" spans="1:8" x14ac:dyDescent="0.25">
      <c r="A1744" t="s">
        <v>808</v>
      </c>
      <c r="H1744" s="14"/>
    </row>
    <row r="1745" spans="1:8" x14ac:dyDescent="0.25">
      <c r="A1745" t="s">
        <v>1851</v>
      </c>
      <c r="H1745" s="14"/>
    </row>
    <row r="1746" spans="1:8" x14ac:dyDescent="0.25">
      <c r="A1746" t="s">
        <v>1852</v>
      </c>
      <c r="H1746" s="14"/>
    </row>
    <row r="1747" spans="1:8" x14ac:dyDescent="0.25">
      <c r="A1747" t="s">
        <v>1853</v>
      </c>
      <c r="H1747" s="14"/>
    </row>
    <row r="1748" spans="1:8" x14ac:dyDescent="0.25">
      <c r="A1748" t="s">
        <v>809</v>
      </c>
      <c r="H1748" s="14"/>
    </row>
    <row r="1749" spans="1:8" x14ac:dyDescent="0.25">
      <c r="A1749" t="s">
        <v>810</v>
      </c>
      <c r="H1749" s="14"/>
    </row>
    <row r="1750" spans="1:8" x14ac:dyDescent="0.25">
      <c r="A1750" t="s">
        <v>811</v>
      </c>
      <c r="H1750" s="14"/>
    </row>
    <row r="1751" spans="1:8" x14ac:dyDescent="0.25">
      <c r="A1751" t="s">
        <v>812</v>
      </c>
      <c r="H1751" s="14"/>
    </row>
    <row r="1752" spans="1:8" x14ac:dyDescent="0.25">
      <c r="A1752" t="s">
        <v>2049</v>
      </c>
      <c r="H1752" s="14"/>
    </row>
    <row r="1753" spans="1:8" x14ac:dyDescent="0.25">
      <c r="A1753" t="s">
        <v>813</v>
      </c>
      <c r="H1753" s="14"/>
    </row>
    <row r="1754" spans="1:8" x14ac:dyDescent="0.25">
      <c r="A1754" t="s">
        <v>814</v>
      </c>
      <c r="H1754" s="14"/>
    </row>
    <row r="1755" spans="1:8" x14ac:dyDescent="0.25">
      <c r="A1755" t="s">
        <v>1854</v>
      </c>
      <c r="H1755" s="14"/>
    </row>
    <row r="1756" spans="1:8" x14ac:dyDescent="0.25">
      <c r="A1756" t="s">
        <v>1855</v>
      </c>
      <c r="H1756" s="14"/>
    </row>
    <row r="1757" spans="1:8" x14ac:dyDescent="0.25">
      <c r="A1757" t="s">
        <v>815</v>
      </c>
      <c r="H1757" s="14"/>
    </row>
    <row r="1758" spans="1:8" x14ac:dyDescent="0.25">
      <c r="A1758" t="s">
        <v>1856</v>
      </c>
      <c r="H1758" s="14"/>
    </row>
    <row r="1759" spans="1:8" x14ac:dyDescent="0.25">
      <c r="A1759" t="s">
        <v>1857</v>
      </c>
      <c r="H1759" s="14"/>
    </row>
    <row r="1760" spans="1:8" x14ac:dyDescent="0.25">
      <c r="A1760" t="s">
        <v>1858</v>
      </c>
      <c r="H1760" s="14"/>
    </row>
    <row r="1761" spans="1:8" x14ac:dyDescent="0.25">
      <c r="A1761" t="s">
        <v>816</v>
      </c>
      <c r="H1761" s="14"/>
    </row>
    <row r="1762" spans="1:8" x14ac:dyDescent="0.25">
      <c r="A1762" t="s">
        <v>1859</v>
      </c>
      <c r="H1762" s="14"/>
    </row>
    <row r="1763" spans="1:8" x14ac:dyDescent="0.25">
      <c r="A1763" t="s">
        <v>817</v>
      </c>
      <c r="H1763" s="14"/>
    </row>
    <row r="1764" spans="1:8" x14ac:dyDescent="0.25">
      <c r="A1764" t="s">
        <v>1860</v>
      </c>
      <c r="H1764" s="14"/>
    </row>
    <row r="1765" spans="1:8" x14ac:dyDescent="0.25">
      <c r="A1765" t="s">
        <v>818</v>
      </c>
      <c r="H1765" s="14"/>
    </row>
    <row r="1766" spans="1:8" x14ac:dyDescent="0.25">
      <c r="A1766" t="s">
        <v>819</v>
      </c>
      <c r="H1766" s="14"/>
    </row>
    <row r="1767" spans="1:8" x14ac:dyDescent="0.25">
      <c r="A1767" t="s">
        <v>820</v>
      </c>
      <c r="H1767" s="14"/>
    </row>
    <row r="1768" spans="1:8" x14ac:dyDescent="0.25">
      <c r="A1768" t="s">
        <v>821</v>
      </c>
      <c r="H1768" s="14"/>
    </row>
    <row r="1769" spans="1:8" x14ac:dyDescent="0.25">
      <c r="A1769" t="s">
        <v>822</v>
      </c>
      <c r="H1769" s="14"/>
    </row>
    <row r="1770" spans="1:8" x14ac:dyDescent="0.25">
      <c r="A1770" t="s">
        <v>823</v>
      </c>
      <c r="H1770" s="14"/>
    </row>
    <row r="1771" spans="1:8" x14ac:dyDescent="0.25">
      <c r="A1771" t="s">
        <v>1861</v>
      </c>
      <c r="H1771" s="14"/>
    </row>
    <row r="1772" spans="1:8" x14ac:dyDescent="0.25">
      <c r="A1772" t="s">
        <v>824</v>
      </c>
      <c r="H1772" s="14"/>
    </row>
    <row r="1773" spans="1:8" x14ac:dyDescent="0.25">
      <c r="A1773" t="s">
        <v>1862</v>
      </c>
      <c r="H1773" s="14"/>
    </row>
    <row r="1774" spans="1:8" x14ac:dyDescent="0.25">
      <c r="A1774" t="s">
        <v>825</v>
      </c>
      <c r="H1774" s="14"/>
    </row>
    <row r="1775" spans="1:8" x14ac:dyDescent="0.25">
      <c r="A1775" t="s">
        <v>826</v>
      </c>
      <c r="H1775" s="14"/>
    </row>
    <row r="1776" spans="1:8" x14ac:dyDescent="0.25">
      <c r="A1776" t="s">
        <v>1863</v>
      </c>
      <c r="H1776" s="14"/>
    </row>
    <row r="1777" spans="1:8" x14ac:dyDescent="0.25">
      <c r="A1777" t="s">
        <v>1864</v>
      </c>
      <c r="H1777" s="14"/>
    </row>
    <row r="1778" spans="1:8" x14ac:dyDescent="0.25">
      <c r="A1778" t="s">
        <v>827</v>
      </c>
      <c r="H1778" s="14"/>
    </row>
    <row r="1779" spans="1:8" x14ac:dyDescent="0.25">
      <c r="A1779" t="s">
        <v>1865</v>
      </c>
      <c r="H1779" s="14"/>
    </row>
    <row r="1780" spans="1:8" x14ac:dyDescent="0.25">
      <c r="A1780" t="s">
        <v>1866</v>
      </c>
      <c r="H1780" s="14"/>
    </row>
    <row r="1781" spans="1:8" x14ac:dyDescent="0.25">
      <c r="A1781" t="s">
        <v>1867</v>
      </c>
      <c r="H1781" s="14"/>
    </row>
    <row r="1782" spans="1:8" x14ac:dyDescent="0.25">
      <c r="A1782" t="s">
        <v>828</v>
      </c>
      <c r="H1782" s="14"/>
    </row>
    <row r="1783" spans="1:8" x14ac:dyDescent="0.25">
      <c r="A1783" t="s">
        <v>1868</v>
      </c>
      <c r="H1783" s="14"/>
    </row>
    <row r="1784" spans="1:8" x14ac:dyDescent="0.25">
      <c r="A1784" t="s">
        <v>829</v>
      </c>
      <c r="H1784" s="14"/>
    </row>
    <row r="1785" spans="1:8" x14ac:dyDescent="0.25">
      <c r="A1785" t="s">
        <v>1869</v>
      </c>
      <c r="H1785" s="14"/>
    </row>
    <row r="1786" spans="1:8" x14ac:dyDescent="0.25">
      <c r="A1786" t="s">
        <v>830</v>
      </c>
      <c r="H1786" s="14"/>
    </row>
    <row r="1787" spans="1:8" x14ac:dyDescent="0.25">
      <c r="A1787" t="s">
        <v>1870</v>
      </c>
      <c r="H1787" s="14"/>
    </row>
    <row r="1788" spans="1:8" x14ac:dyDescent="0.25">
      <c r="A1788" t="s">
        <v>831</v>
      </c>
      <c r="H1788" s="14"/>
    </row>
    <row r="1789" spans="1:8" x14ac:dyDescent="0.25">
      <c r="A1789" t="s">
        <v>832</v>
      </c>
      <c r="H1789" s="14"/>
    </row>
    <row r="1790" spans="1:8" x14ac:dyDescent="0.25">
      <c r="A1790" t="s">
        <v>833</v>
      </c>
      <c r="H1790" s="14"/>
    </row>
    <row r="1791" spans="1:8" x14ac:dyDescent="0.25">
      <c r="A1791" t="s">
        <v>1871</v>
      </c>
      <c r="H1791" s="14"/>
    </row>
    <row r="1792" spans="1:8" x14ac:dyDescent="0.25">
      <c r="A1792" t="s">
        <v>1872</v>
      </c>
      <c r="H1792" s="14"/>
    </row>
    <row r="1793" spans="1:8" x14ac:dyDescent="0.25">
      <c r="A1793" t="s">
        <v>1873</v>
      </c>
      <c r="H1793" s="14"/>
    </row>
    <row r="1794" spans="1:8" x14ac:dyDescent="0.25">
      <c r="A1794" t="s">
        <v>834</v>
      </c>
      <c r="H1794" s="14"/>
    </row>
    <row r="1795" spans="1:8" x14ac:dyDescent="0.25">
      <c r="A1795" t="s">
        <v>1874</v>
      </c>
      <c r="H1795" s="14"/>
    </row>
    <row r="1796" spans="1:8" x14ac:dyDescent="0.25">
      <c r="A1796" t="s">
        <v>1875</v>
      </c>
      <c r="H1796" s="14"/>
    </row>
    <row r="1797" spans="1:8" x14ac:dyDescent="0.25">
      <c r="A1797" t="s">
        <v>835</v>
      </c>
      <c r="H1797" s="14"/>
    </row>
    <row r="1798" spans="1:8" x14ac:dyDescent="0.25">
      <c r="A1798" t="s">
        <v>1876</v>
      </c>
      <c r="H1798" s="14"/>
    </row>
    <row r="1799" spans="1:8" x14ac:dyDescent="0.25">
      <c r="A1799" t="s">
        <v>1877</v>
      </c>
      <c r="H1799" s="14"/>
    </row>
    <row r="1800" spans="1:8" x14ac:dyDescent="0.25">
      <c r="A1800" t="s">
        <v>836</v>
      </c>
      <c r="H1800" s="14"/>
    </row>
    <row r="1801" spans="1:8" x14ac:dyDescent="0.25">
      <c r="A1801" t="s">
        <v>837</v>
      </c>
      <c r="H1801" s="14"/>
    </row>
    <row r="1802" spans="1:8" x14ac:dyDescent="0.25">
      <c r="A1802" t="s">
        <v>1878</v>
      </c>
      <c r="H1802" s="14"/>
    </row>
    <row r="1803" spans="1:8" x14ac:dyDescent="0.25">
      <c r="A1803" t="s">
        <v>838</v>
      </c>
      <c r="H1803" s="14"/>
    </row>
    <row r="1804" spans="1:8" x14ac:dyDescent="0.25">
      <c r="A1804" t="s">
        <v>1879</v>
      </c>
      <c r="H1804" s="14"/>
    </row>
    <row r="1805" spans="1:8" x14ac:dyDescent="0.25">
      <c r="A1805" t="s">
        <v>1880</v>
      </c>
      <c r="H1805" s="14"/>
    </row>
    <row r="1806" spans="1:8" x14ac:dyDescent="0.25">
      <c r="A1806" t="s">
        <v>1881</v>
      </c>
      <c r="H1806" s="14"/>
    </row>
    <row r="1807" spans="1:8" x14ac:dyDescent="0.25">
      <c r="A1807" t="s">
        <v>839</v>
      </c>
      <c r="H1807" s="14"/>
    </row>
    <row r="1808" spans="1:8" x14ac:dyDescent="0.25">
      <c r="A1808" t="s">
        <v>840</v>
      </c>
      <c r="H1808" s="14"/>
    </row>
    <row r="1809" spans="1:8" x14ac:dyDescent="0.25">
      <c r="A1809" t="s">
        <v>841</v>
      </c>
      <c r="H1809" s="14"/>
    </row>
    <row r="1810" spans="1:8" x14ac:dyDescent="0.25">
      <c r="A1810" t="s">
        <v>842</v>
      </c>
      <c r="H1810" s="14"/>
    </row>
    <row r="1811" spans="1:8" x14ac:dyDescent="0.25">
      <c r="A1811" t="s">
        <v>2050</v>
      </c>
      <c r="H1811" s="14"/>
    </row>
    <row r="1812" spans="1:8" x14ac:dyDescent="0.25">
      <c r="A1812" t="s">
        <v>843</v>
      </c>
      <c r="H1812" s="14"/>
    </row>
    <row r="1813" spans="1:8" x14ac:dyDescent="0.25">
      <c r="A1813" t="s">
        <v>844</v>
      </c>
      <c r="H1813" s="14"/>
    </row>
    <row r="1814" spans="1:8" x14ac:dyDescent="0.25">
      <c r="A1814" t="s">
        <v>1882</v>
      </c>
      <c r="H1814" s="14"/>
    </row>
    <row r="1815" spans="1:8" x14ac:dyDescent="0.25">
      <c r="A1815" t="s">
        <v>1883</v>
      </c>
      <c r="H1815" s="14"/>
    </row>
    <row r="1816" spans="1:8" x14ac:dyDescent="0.25">
      <c r="A1816" t="s">
        <v>845</v>
      </c>
      <c r="H1816" s="14"/>
    </row>
    <row r="1817" spans="1:8" x14ac:dyDescent="0.25">
      <c r="A1817" t="s">
        <v>1884</v>
      </c>
      <c r="H1817" s="14"/>
    </row>
    <row r="1818" spans="1:8" x14ac:dyDescent="0.25">
      <c r="A1818" t="s">
        <v>1885</v>
      </c>
      <c r="H1818" s="14"/>
    </row>
    <row r="1819" spans="1:8" x14ac:dyDescent="0.25">
      <c r="A1819" t="s">
        <v>1886</v>
      </c>
      <c r="H1819" s="14"/>
    </row>
    <row r="1820" spans="1:8" x14ac:dyDescent="0.25">
      <c r="A1820" t="s">
        <v>846</v>
      </c>
      <c r="H1820" s="14"/>
    </row>
    <row r="1821" spans="1:8" x14ac:dyDescent="0.25">
      <c r="A1821" t="s">
        <v>1887</v>
      </c>
      <c r="H1821" s="14"/>
    </row>
    <row r="1822" spans="1:8" x14ac:dyDescent="0.25">
      <c r="A1822" t="s">
        <v>847</v>
      </c>
      <c r="H1822" s="14"/>
    </row>
    <row r="1823" spans="1:8" x14ac:dyDescent="0.25">
      <c r="A1823" t="s">
        <v>1888</v>
      </c>
      <c r="H1823" s="14"/>
    </row>
    <row r="1824" spans="1:8" x14ac:dyDescent="0.25">
      <c r="A1824" t="s">
        <v>848</v>
      </c>
      <c r="H1824" s="14"/>
    </row>
    <row r="1825" spans="1:8" x14ac:dyDescent="0.25">
      <c r="A1825" t="s">
        <v>849</v>
      </c>
      <c r="H1825" s="14"/>
    </row>
    <row r="1826" spans="1:8" x14ac:dyDescent="0.25">
      <c r="A1826" t="s">
        <v>850</v>
      </c>
      <c r="H1826" s="14"/>
    </row>
    <row r="1827" spans="1:8" x14ac:dyDescent="0.25">
      <c r="A1827" t="s">
        <v>851</v>
      </c>
      <c r="H1827" s="14"/>
    </row>
    <row r="1828" spans="1:8" x14ac:dyDescent="0.25">
      <c r="A1828" t="s">
        <v>852</v>
      </c>
      <c r="H1828" s="14"/>
    </row>
    <row r="1829" spans="1:8" x14ac:dyDescent="0.25">
      <c r="A1829" t="s">
        <v>853</v>
      </c>
      <c r="H1829" s="14"/>
    </row>
    <row r="1830" spans="1:8" x14ac:dyDescent="0.25">
      <c r="A1830" t="s">
        <v>1889</v>
      </c>
      <c r="H1830" s="14"/>
    </row>
    <row r="1831" spans="1:8" x14ac:dyDescent="0.25">
      <c r="A1831" t="s">
        <v>854</v>
      </c>
      <c r="H1831" s="14"/>
    </row>
    <row r="1832" spans="1:8" x14ac:dyDescent="0.25">
      <c r="A1832" t="s">
        <v>1890</v>
      </c>
      <c r="H1832" s="14"/>
    </row>
    <row r="1833" spans="1:8" x14ac:dyDescent="0.25">
      <c r="A1833" t="s">
        <v>855</v>
      </c>
      <c r="H1833" s="14"/>
    </row>
    <row r="1834" spans="1:8" x14ac:dyDescent="0.25">
      <c r="A1834" t="s">
        <v>856</v>
      </c>
      <c r="H1834" s="14"/>
    </row>
    <row r="1835" spans="1:8" x14ac:dyDescent="0.25">
      <c r="A1835" t="s">
        <v>1891</v>
      </c>
      <c r="H1835" s="14"/>
    </row>
    <row r="1836" spans="1:8" x14ac:dyDescent="0.25">
      <c r="A1836" t="s">
        <v>1892</v>
      </c>
      <c r="H1836" s="14"/>
    </row>
    <row r="1837" spans="1:8" x14ac:dyDescent="0.25">
      <c r="A1837" t="s">
        <v>857</v>
      </c>
      <c r="H1837" s="14"/>
    </row>
    <row r="1838" spans="1:8" x14ac:dyDescent="0.25">
      <c r="A1838" t="s">
        <v>1893</v>
      </c>
      <c r="H1838" s="14"/>
    </row>
    <row r="1839" spans="1:8" x14ac:dyDescent="0.25">
      <c r="A1839" t="s">
        <v>1894</v>
      </c>
      <c r="H1839" s="14"/>
    </row>
    <row r="1840" spans="1:8" x14ac:dyDescent="0.25">
      <c r="A1840" t="s">
        <v>1895</v>
      </c>
      <c r="H1840" s="14"/>
    </row>
    <row r="1841" spans="1:8" x14ac:dyDescent="0.25">
      <c r="A1841" t="s">
        <v>858</v>
      </c>
      <c r="H1841" s="14"/>
    </row>
    <row r="1842" spans="1:8" x14ac:dyDescent="0.25">
      <c r="A1842" t="s">
        <v>1896</v>
      </c>
      <c r="H1842" s="14"/>
    </row>
    <row r="1843" spans="1:8" x14ac:dyDescent="0.25">
      <c r="A1843" t="s">
        <v>859</v>
      </c>
      <c r="H1843" s="14"/>
    </row>
    <row r="1844" spans="1:8" x14ac:dyDescent="0.25">
      <c r="A1844" t="s">
        <v>1897</v>
      </c>
      <c r="H1844" s="14"/>
    </row>
    <row r="1845" spans="1:8" x14ac:dyDescent="0.25">
      <c r="A1845" t="s">
        <v>860</v>
      </c>
      <c r="H1845" s="14"/>
    </row>
    <row r="1846" spans="1:8" x14ac:dyDescent="0.25">
      <c r="A1846" t="s">
        <v>1898</v>
      </c>
      <c r="H1846" s="14"/>
    </row>
    <row r="1847" spans="1:8" x14ac:dyDescent="0.25">
      <c r="A1847" t="s">
        <v>861</v>
      </c>
      <c r="H1847" s="14"/>
    </row>
    <row r="1848" spans="1:8" x14ac:dyDescent="0.25">
      <c r="A1848" t="s">
        <v>862</v>
      </c>
      <c r="H1848" s="14"/>
    </row>
    <row r="1849" spans="1:8" x14ac:dyDescent="0.25">
      <c r="A1849" t="s">
        <v>863</v>
      </c>
      <c r="H1849" s="14"/>
    </row>
    <row r="1850" spans="1:8" x14ac:dyDescent="0.25">
      <c r="A1850" t="s">
        <v>1899</v>
      </c>
      <c r="H1850" s="14"/>
    </row>
    <row r="1851" spans="1:8" x14ac:dyDescent="0.25">
      <c r="A1851" t="s">
        <v>1900</v>
      </c>
      <c r="H1851" s="14"/>
    </row>
    <row r="1852" spans="1:8" x14ac:dyDescent="0.25">
      <c r="A1852" t="s">
        <v>1901</v>
      </c>
      <c r="H1852" s="14"/>
    </row>
    <row r="1853" spans="1:8" x14ac:dyDescent="0.25">
      <c r="A1853" t="s">
        <v>864</v>
      </c>
      <c r="H1853" s="14"/>
    </row>
    <row r="1854" spans="1:8" x14ac:dyDescent="0.25">
      <c r="A1854" t="s">
        <v>1902</v>
      </c>
      <c r="H1854" s="14"/>
    </row>
    <row r="1855" spans="1:8" x14ac:dyDescent="0.25">
      <c r="A1855" t="s">
        <v>1903</v>
      </c>
      <c r="H1855" s="14"/>
    </row>
    <row r="1856" spans="1:8" x14ac:dyDescent="0.25">
      <c r="A1856" t="s">
        <v>865</v>
      </c>
      <c r="H1856" s="14"/>
    </row>
    <row r="1857" spans="1:8" x14ac:dyDescent="0.25">
      <c r="A1857" t="s">
        <v>1904</v>
      </c>
      <c r="H1857" s="14"/>
    </row>
    <row r="1858" spans="1:8" x14ac:dyDescent="0.25">
      <c r="A1858" t="s">
        <v>1905</v>
      </c>
      <c r="H1858" s="14"/>
    </row>
    <row r="1859" spans="1:8" x14ac:dyDescent="0.25">
      <c r="A1859" t="s">
        <v>866</v>
      </c>
      <c r="H1859" s="14"/>
    </row>
    <row r="1860" spans="1:8" x14ac:dyDescent="0.25">
      <c r="A1860" t="s">
        <v>867</v>
      </c>
      <c r="H1860" s="14"/>
    </row>
    <row r="1861" spans="1:8" x14ac:dyDescent="0.25">
      <c r="A1861" t="s">
        <v>1906</v>
      </c>
      <c r="H1861" s="14"/>
    </row>
    <row r="1862" spans="1:8" x14ac:dyDescent="0.25">
      <c r="A1862" t="s">
        <v>868</v>
      </c>
      <c r="H1862" s="14"/>
    </row>
    <row r="1863" spans="1:8" x14ac:dyDescent="0.25">
      <c r="A1863" t="s">
        <v>1907</v>
      </c>
      <c r="H1863" s="14"/>
    </row>
    <row r="1864" spans="1:8" x14ac:dyDescent="0.25">
      <c r="A1864" t="s">
        <v>1908</v>
      </c>
      <c r="H1864" s="14"/>
    </row>
    <row r="1865" spans="1:8" x14ac:dyDescent="0.25">
      <c r="A1865" t="s">
        <v>1909</v>
      </c>
      <c r="H1865" s="14"/>
    </row>
    <row r="1866" spans="1:8" x14ac:dyDescent="0.25">
      <c r="A1866" t="s">
        <v>869</v>
      </c>
      <c r="H1866" s="14"/>
    </row>
    <row r="1867" spans="1:8" x14ac:dyDescent="0.25">
      <c r="A1867" t="s">
        <v>870</v>
      </c>
      <c r="H1867" s="14"/>
    </row>
    <row r="1868" spans="1:8" x14ac:dyDescent="0.25">
      <c r="A1868" t="s">
        <v>871</v>
      </c>
      <c r="H1868" s="14"/>
    </row>
    <row r="1869" spans="1:8" x14ac:dyDescent="0.25">
      <c r="A1869" t="s">
        <v>872</v>
      </c>
      <c r="H1869" s="14"/>
    </row>
    <row r="1870" spans="1:8" x14ac:dyDescent="0.25">
      <c r="A1870" t="s">
        <v>2051</v>
      </c>
      <c r="H1870" s="14"/>
    </row>
    <row r="1871" spans="1:8" x14ac:dyDescent="0.25">
      <c r="A1871" t="s">
        <v>873</v>
      </c>
      <c r="H1871" s="14"/>
    </row>
    <row r="1872" spans="1:8" x14ac:dyDescent="0.25">
      <c r="A1872" t="s">
        <v>874</v>
      </c>
      <c r="H1872" s="14"/>
    </row>
    <row r="1873" spans="1:8" x14ac:dyDescent="0.25">
      <c r="A1873" t="s">
        <v>1910</v>
      </c>
      <c r="H1873" s="14"/>
    </row>
    <row r="1874" spans="1:8" x14ac:dyDescent="0.25">
      <c r="A1874" t="s">
        <v>1911</v>
      </c>
      <c r="H1874" s="14"/>
    </row>
    <row r="1875" spans="1:8" x14ac:dyDescent="0.25">
      <c r="A1875" t="s">
        <v>875</v>
      </c>
      <c r="H1875" s="14"/>
    </row>
    <row r="1876" spans="1:8" x14ac:dyDescent="0.25">
      <c r="A1876" t="s">
        <v>1912</v>
      </c>
      <c r="H1876" s="14"/>
    </row>
    <row r="1877" spans="1:8" x14ac:dyDescent="0.25">
      <c r="A1877" t="s">
        <v>1913</v>
      </c>
      <c r="H1877" s="14"/>
    </row>
    <row r="1878" spans="1:8" x14ac:dyDescent="0.25">
      <c r="A1878" t="s">
        <v>1914</v>
      </c>
      <c r="H1878" s="14"/>
    </row>
    <row r="1879" spans="1:8" x14ac:dyDescent="0.25">
      <c r="A1879" t="s">
        <v>876</v>
      </c>
      <c r="H1879" s="14"/>
    </row>
    <row r="1880" spans="1:8" x14ac:dyDescent="0.25">
      <c r="A1880" t="s">
        <v>1915</v>
      </c>
      <c r="H1880" s="14"/>
    </row>
    <row r="1881" spans="1:8" x14ac:dyDescent="0.25">
      <c r="A1881" t="s">
        <v>877</v>
      </c>
      <c r="H1881" s="14"/>
    </row>
    <row r="1882" spans="1:8" x14ac:dyDescent="0.25">
      <c r="A1882" t="s">
        <v>1916</v>
      </c>
      <c r="H1882" s="14"/>
    </row>
    <row r="1883" spans="1:8" x14ac:dyDescent="0.25">
      <c r="A1883" t="s">
        <v>878</v>
      </c>
      <c r="H1883" s="14"/>
    </row>
    <row r="1884" spans="1:8" x14ac:dyDescent="0.25">
      <c r="A1884" t="s">
        <v>879</v>
      </c>
      <c r="H1884" s="14"/>
    </row>
    <row r="1885" spans="1:8" x14ac:dyDescent="0.25">
      <c r="A1885" t="s">
        <v>880</v>
      </c>
      <c r="H1885" s="14"/>
    </row>
    <row r="1886" spans="1:8" x14ac:dyDescent="0.25">
      <c r="A1886" t="s">
        <v>881</v>
      </c>
      <c r="H1886" s="14"/>
    </row>
    <row r="1887" spans="1:8" x14ac:dyDescent="0.25">
      <c r="A1887" t="s">
        <v>882</v>
      </c>
      <c r="H1887" s="14"/>
    </row>
    <row r="1888" spans="1:8" x14ac:dyDescent="0.25">
      <c r="A1888" t="s">
        <v>883</v>
      </c>
      <c r="H1888" s="14"/>
    </row>
    <row r="1889" spans="1:8" x14ac:dyDescent="0.25">
      <c r="A1889" t="s">
        <v>1917</v>
      </c>
      <c r="H1889" s="14"/>
    </row>
    <row r="1890" spans="1:8" x14ac:dyDescent="0.25">
      <c r="A1890" t="s">
        <v>884</v>
      </c>
      <c r="H1890" s="14"/>
    </row>
    <row r="1891" spans="1:8" x14ac:dyDescent="0.25">
      <c r="A1891" t="s">
        <v>1918</v>
      </c>
      <c r="H1891" s="14"/>
    </row>
    <row r="1892" spans="1:8" x14ac:dyDescent="0.25">
      <c r="A1892" t="s">
        <v>885</v>
      </c>
      <c r="H1892" s="14"/>
    </row>
    <row r="1893" spans="1:8" x14ac:dyDescent="0.25">
      <c r="A1893" t="s">
        <v>886</v>
      </c>
      <c r="H1893" s="14"/>
    </row>
    <row r="1894" spans="1:8" x14ac:dyDescent="0.25">
      <c r="A1894" t="s">
        <v>1919</v>
      </c>
      <c r="H1894" s="14"/>
    </row>
    <row r="1895" spans="1:8" x14ac:dyDescent="0.25">
      <c r="A1895" t="s">
        <v>1920</v>
      </c>
      <c r="H1895" s="14"/>
    </row>
    <row r="1896" spans="1:8" x14ac:dyDescent="0.25">
      <c r="A1896" t="s">
        <v>887</v>
      </c>
      <c r="H1896" s="14"/>
    </row>
    <row r="1897" spans="1:8" x14ac:dyDescent="0.25">
      <c r="A1897" t="s">
        <v>1921</v>
      </c>
      <c r="H1897" s="14"/>
    </row>
    <row r="1898" spans="1:8" x14ac:dyDescent="0.25">
      <c r="A1898" t="s">
        <v>1922</v>
      </c>
      <c r="H1898" s="14"/>
    </row>
    <row r="1899" spans="1:8" x14ac:dyDescent="0.25">
      <c r="A1899" t="s">
        <v>1923</v>
      </c>
      <c r="H1899" s="14"/>
    </row>
    <row r="1900" spans="1:8" x14ac:dyDescent="0.25">
      <c r="A1900" t="s">
        <v>888</v>
      </c>
      <c r="H1900" s="14"/>
    </row>
    <row r="1901" spans="1:8" x14ac:dyDescent="0.25">
      <c r="A1901" t="s">
        <v>1924</v>
      </c>
      <c r="H1901" s="14"/>
    </row>
    <row r="1902" spans="1:8" x14ac:dyDescent="0.25">
      <c r="A1902" t="s">
        <v>889</v>
      </c>
      <c r="H1902" s="14"/>
    </row>
    <row r="1903" spans="1:8" x14ac:dyDescent="0.25">
      <c r="A1903" t="s">
        <v>1925</v>
      </c>
      <c r="H1903" s="14"/>
    </row>
    <row r="1904" spans="1:8" x14ac:dyDescent="0.25">
      <c r="A1904" t="s">
        <v>890</v>
      </c>
      <c r="H1904" s="14"/>
    </row>
    <row r="1905" spans="1:8" x14ac:dyDescent="0.25">
      <c r="A1905" t="s">
        <v>1926</v>
      </c>
      <c r="H1905" s="14"/>
    </row>
    <row r="1906" spans="1:8" x14ac:dyDescent="0.25">
      <c r="A1906" t="s">
        <v>891</v>
      </c>
      <c r="H1906" s="14"/>
    </row>
    <row r="1907" spans="1:8" x14ac:dyDescent="0.25">
      <c r="A1907" t="s">
        <v>892</v>
      </c>
      <c r="H1907" s="14"/>
    </row>
    <row r="1908" spans="1:8" x14ac:dyDescent="0.25">
      <c r="A1908" t="s">
        <v>893</v>
      </c>
      <c r="H1908" s="14"/>
    </row>
    <row r="1909" spans="1:8" x14ac:dyDescent="0.25">
      <c r="A1909" t="s">
        <v>1927</v>
      </c>
      <c r="H1909" s="14"/>
    </row>
    <row r="1910" spans="1:8" x14ac:dyDescent="0.25">
      <c r="A1910" t="s">
        <v>1928</v>
      </c>
      <c r="H1910" s="14"/>
    </row>
    <row r="1911" spans="1:8" x14ac:dyDescent="0.25">
      <c r="A1911" t="s">
        <v>1929</v>
      </c>
      <c r="H1911" s="14"/>
    </row>
    <row r="1912" spans="1:8" x14ac:dyDescent="0.25">
      <c r="A1912" t="s">
        <v>894</v>
      </c>
      <c r="H1912" s="14"/>
    </row>
    <row r="1913" spans="1:8" x14ac:dyDescent="0.25">
      <c r="A1913" t="s">
        <v>1930</v>
      </c>
      <c r="H1913" s="14"/>
    </row>
    <row r="1914" spans="1:8" x14ac:dyDescent="0.25">
      <c r="A1914" t="s">
        <v>1931</v>
      </c>
      <c r="H1914" s="14"/>
    </row>
    <row r="1915" spans="1:8" x14ac:dyDescent="0.25">
      <c r="A1915" t="s">
        <v>895</v>
      </c>
      <c r="H1915" s="14"/>
    </row>
    <row r="1916" spans="1:8" x14ac:dyDescent="0.25">
      <c r="A1916" t="s">
        <v>1932</v>
      </c>
      <c r="H1916" s="14"/>
    </row>
    <row r="1917" spans="1:8" x14ac:dyDescent="0.25">
      <c r="A1917" t="s">
        <v>1933</v>
      </c>
      <c r="H1917" s="14"/>
    </row>
    <row r="1918" spans="1:8" x14ac:dyDescent="0.25">
      <c r="A1918" t="s">
        <v>896</v>
      </c>
      <c r="H1918" s="14"/>
    </row>
    <row r="1919" spans="1:8" x14ac:dyDescent="0.25">
      <c r="A1919" t="s">
        <v>897</v>
      </c>
      <c r="H1919" s="14"/>
    </row>
    <row r="1920" spans="1:8" x14ac:dyDescent="0.25">
      <c r="A1920" t="s">
        <v>1934</v>
      </c>
      <c r="H1920" s="14"/>
    </row>
    <row r="1921" spans="1:8" x14ac:dyDescent="0.25">
      <c r="A1921" t="s">
        <v>898</v>
      </c>
      <c r="H1921" s="14"/>
    </row>
    <row r="1922" spans="1:8" x14ac:dyDescent="0.25">
      <c r="A1922" t="s">
        <v>1935</v>
      </c>
      <c r="H1922" s="14"/>
    </row>
    <row r="1923" spans="1:8" x14ac:dyDescent="0.25">
      <c r="A1923" t="s">
        <v>1936</v>
      </c>
      <c r="H1923" s="14"/>
    </row>
    <row r="1924" spans="1:8" x14ac:dyDescent="0.25">
      <c r="A1924" t="s">
        <v>1937</v>
      </c>
      <c r="H1924" s="14"/>
    </row>
    <row r="1925" spans="1:8" x14ac:dyDescent="0.25">
      <c r="A1925" t="s">
        <v>899</v>
      </c>
      <c r="H1925" s="14"/>
    </row>
    <row r="1926" spans="1:8" x14ac:dyDescent="0.25">
      <c r="A1926" t="s">
        <v>900</v>
      </c>
      <c r="H1926" s="14"/>
    </row>
    <row r="1927" spans="1:8" x14ac:dyDescent="0.25">
      <c r="A1927" t="s">
        <v>901</v>
      </c>
      <c r="H1927" s="14"/>
    </row>
    <row r="1928" spans="1:8" x14ac:dyDescent="0.25">
      <c r="A1928" t="s">
        <v>902</v>
      </c>
      <c r="H1928" s="14"/>
    </row>
    <row r="1929" spans="1:8" x14ac:dyDescent="0.25">
      <c r="A1929" t="s">
        <v>2052</v>
      </c>
      <c r="H1929" s="14"/>
    </row>
    <row r="1930" spans="1:8" x14ac:dyDescent="0.25">
      <c r="A1930" t="s">
        <v>903</v>
      </c>
      <c r="H1930" s="14"/>
    </row>
    <row r="1931" spans="1:8" x14ac:dyDescent="0.25">
      <c r="A1931" t="s">
        <v>904</v>
      </c>
      <c r="H1931" s="14"/>
    </row>
    <row r="1932" spans="1:8" x14ac:dyDescent="0.25">
      <c r="A1932" t="s">
        <v>1938</v>
      </c>
      <c r="H1932" s="14"/>
    </row>
    <row r="1933" spans="1:8" x14ac:dyDescent="0.25">
      <c r="A1933" t="s">
        <v>1939</v>
      </c>
      <c r="H1933" s="14"/>
    </row>
    <row r="1934" spans="1:8" x14ac:dyDescent="0.25">
      <c r="A1934" t="s">
        <v>905</v>
      </c>
      <c r="H1934" s="14"/>
    </row>
    <row r="1935" spans="1:8" x14ac:dyDescent="0.25">
      <c r="A1935" t="s">
        <v>1940</v>
      </c>
      <c r="H1935" s="14"/>
    </row>
    <row r="1936" spans="1:8" x14ac:dyDescent="0.25">
      <c r="A1936" t="s">
        <v>1941</v>
      </c>
      <c r="H1936" s="14"/>
    </row>
    <row r="1937" spans="1:8" x14ac:dyDescent="0.25">
      <c r="A1937" t="s">
        <v>1942</v>
      </c>
      <c r="H1937" s="14"/>
    </row>
    <row r="1938" spans="1:8" x14ac:dyDescent="0.25">
      <c r="A1938" t="s">
        <v>906</v>
      </c>
      <c r="H1938" s="14"/>
    </row>
    <row r="1939" spans="1:8" x14ac:dyDescent="0.25">
      <c r="A1939" t="s">
        <v>1943</v>
      </c>
      <c r="H1939" s="14"/>
    </row>
    <row r="1940" spans="1:8" x14ac:dyDescent="0.25">
      <c r="A1940" t="s">
        <v>907</v>
      </c>
      <c r="H1940" s="14"/>
    </row>
    <row r="1941" spans="1:8" x14ac:dyDescent="0.25">
      <c r="A1941" t="s">
        <v>1944</v>
      </c>
      <c r="H1941" s="14"/>
    </row>
    <row r="1942" spans="1:8" x14ac:dyDescent="0.25">
      <c r="A1942" t="s">
        <v>908</v>
      </c>
      <c r="H1942" s="14"/>
    </row>
    <row r="1943" spans="1:8" x14ac:dyDescent="0.25">
      <c r="A1943" t="s">
        <v>909</v>
      </c>
      <c r="H1943" s="14"/>
    </row>
    <row r="1944" spans="1:8" x14ac:dyDescent="0.25">
      <c r="A1944" t="s">
        <v>910</v>
      </c>
      <c r="H1944" s="14"/>
    </row>
    <row r="1945" spans="1:8" x14ac:dyDescent="0.25">
      <c r="A1945" t="s">
        <v>911</v>
      </c>
      <c r="H1945" s="14"/>
    </row>
    <row r="1946" spans="1:8" x14ac:dyDescent="0.25">
      <c r="A1946" t="s">
        <v>912</v>
      </c>
      <c r="H1946" s="14"/>
    </row>
    <row r="1947" spans="1:8" x14ac:dyDescent="0.25">
      <c r="A1947" t="s">
        <v>913</v>
      </c>
      <c r="H1947" s="14"/>
    </row>
    <row r="1948" spans="1:8" x14ac:dyDescent="0.25">
      <c r="A1948" t="s">
        <v>1945</v>
      </c>
      <c r="H1948" s="14"/>
    </row>
    <row r="1949" spans="1:8" x14ac:dyDescent="0.25">
      <c r="A1949" t="s">
        <v>914</v>
      </c>
      <c r="H1949" s="14"/>
    </row>
    <row r="1950" spans="1:8" x14ac:dyDescent="0.25">
      <c r="A1950" t="s">
        <v>1946</v>
      </c>
      <c r="H1950" s="14"/>
    </row>
    <row r="1951" spans="1:8" x14ac:dyDescent="0.25">
      <c r="A1951" t="s">
        <v>915</v>
      </c>
      <c r="H1951" s="14"/>
    </row>
    <row r="1952" spans="1:8" x14ac:dyDescent="0.25">
      <c r="A1952" t="s">
        <v>916</v>
      </c>
      <c r="H1952" s="14"/>
    </row>
    <row r="1953" spans="1:8" x14ac:dyDescent="0.25">
      <c r="A1953" t="s">
        <v>1947</v>
      </c>
      <c r="H1953" s="14"/>
    </row>
    <row r="1954" spans="1:8" x14ac:dyDescent="0.25">
      <c r="A1954" t="s">
        <v>1948</v>
      </c>
      <c r="H1954" s="14"/>
    </row>
    <row r="1955" spans="1:8" x14ac:dyDescent="0.25">
      <c r="A1955" t="s">
        <v>917</v>
      </c>
      <c r="H1955" s="14"/>
    </row>
    <row r="1956" spans="1:8" x14ac:dyDescent="0.25">
      <c r="A1956" t="s">
        <v>1949</v>
      </c>
      <c r="H1956" s="14"/>
    </row>
    <row r="1957" spans="1:8" x14ac:dyDescent="0.25">
      <c r="A1957" t="s">
        <v>1950</v>
      </c>
      <c r="H1957" s="14"/>
    </row>
    <row r="1958" spans="1:8" x14ac:dyDescent="0.25">
      <c r="A1958" t="s">
        <v>1951</v>
      </c>
      <c r="H1958" s="14"/>
    </row>
    <row r="1959" spans="1:8" x14ac:dyDescent="0.25">
      <c r="A1959" t="s">
        <v>918</v>
      </c>
      <c r="H1959" s="14"/>
    </row>
    <row r="1960" spans="1:8" x14ac:dyDescent="0.25">
      <c r="A1960" t="s">
        <v>1952</v>
      </c>
      <c r="H1960" s="14"/>
    </row>
    <row r="1961" spans="1:8" x14ac:dyDescent="0.25">
      <c r="A1961" t="s">
        <v>919</v>
      </c>
      <c r="H1961" s="14"/>
    </row>
    <row r="1962" spans="1:8" x14ac:dyDescent="0.25">
      <c r="A1962" t="s">
        <v>1953</v>
      </c>
      <c r="H1962" s="14"/>
    </row>
    <row r="1963" spans="1:8" x14ac:dyDescent="0.25">
      <c r="A1963" t="s">
        <v>920</v>
      </c>
      <c r="H1963" s="14"/>
    </row>
    <row r="1964" spans="1:8" x14ac:dyDescent="0.25">
      <c r="A1964" t="s">
        <v>1954</v>
      </c>
      <c r="H1964" s="14"/>
    </row>
    <row r="1965" spans="1:8" x14ac:dyDescent="0.25">
      <c r="A1965" t="s">
        <v>921</v>
      </c>
      <c r="H1965" s="14"/>
    </row>
    <row r="1966" spans="1:8" x14ac:dyDescent="0.25">
      <c r="A1966" t="s">
        <v>922</v>
      </c>
      <c r="H1966" s="14"/>
    </row>
    <row r="1967" spans="1:8" x14ac:dyDescent="0.25">
      <c r="A1967" t="s">
        <v>923</v>
      </c>
      <c r="H1967" s="14"/>
    </row>
    <row r="1968" spans="1:8" x14ac:dyDescent="0.25">
      <c r="A1968" t="s">
        <v>1955</v>
      </c>
      <c r="H1968" s="14"/>
    </row>
    <row r="1969" spans="1:8" x14ac:dyDescent="0.25">
      <c r="A1969" t="s">
        <v>1956</v>
      </c>
      <c r="H1969" s="14"/>
    </row>
    <row r="1970" spans="1:8" x14ac:dyDescent="0.25">
      <c r="A1970" t="s">
        <v>1957</v>
      </c>
      <c r="H1970" s="14"/>
    </row>
    <row r="1971" spans="1:8" x14ac:dyDescent="0.25">
      <c r="A1971" t="s">
        <v>924</v>
      </c>
      <c r="H1971" s="14"/>
    </row>
    <row r="1972" spans="1:8" x14ac:dyDescent="0.25">
      <c r="A1972" t="s">
        <v>1958</v>
      </c>
      <c r="H1972" s="14"/>
    </row>
    <row r="1973" spans="1:8" x14ac:dyDescent="0.25">
      <c r="A1973" t="s">
        <v>1959</v>
      </c>
      <c r="H1973" s="14"/>
    </row>
    <row r="1974" spans="1:8" x14ac:dyDescent="0.25">
      <c r="A1974" t="s">
        <v>925</v>
      </c>
      <c r="H1974" s="14"/>
    </row>
    <row r="1975" spans="1:8" x14ac:dyDescent="0.25">
      <c r="A1975" t="s">
        <v>1960</v>
      </c>
      <c r="H1975" s="14"/>
    </row>
    <row r="1976" spans="1:8" x14ac:dyDescent="0.25">
      <c r="A1976" t="s">
        <v>1961</v>
      </c>
      <c r="H1976" s="14"/>
    </row>
    <row r="1977" spans="1:8" x14ac:dyDescent="0.25">
      <c r="A1977" t="s">
        <v>926</v>
      </c>
      <c r="H1977" s="14"/>
    </row>
    <row r="1978" spans="1:8" x14ac:dyDescent="0.25">
      <c r="A1978" t="s">
        <v>927</v>
      </c>
      <c r="H1978" s="14"/>
    </row>
    <row r="1979" spans="1:8" x14ac:dyDescent="0.25">
      <c r="A1979" t="s">
        <v>1962</v>
      </c>
      <c r="H1979" s="14"/>
    </row>
    <row r="1980" spans="1:8" x14ac:dyDescent="0.25">
      <c r="A1980" t="s">
        <v>928</v>
      </c>
      <c r="H1980" s="14"/>
    </row>
    <row r="1981" spans="1:8" x14ac:dyDescent="0.25">
      <c r="A1981" t="s">
        <v>1963</v>
      </c>
      <c r="H1981" s="14"/>
    </row>
    <row r="1982" spans="1:8" x14ac:dyDescent="0.25">
      <c r="A1982" t="s">
        <v>1964</v>
      </c>
      <c r="H1982" s="14"/>
    </row>
    <row r="1983" spans="1:8" x14ac:dyDescent="0.25">
      <c r="A1983" t="s">
        <v>1965</v>
      </c>
      <c r="H1983" s="14"/>
    </row>
    <row r="1984" spans="1:8" x14ac:dyDescent="0.25">
      <c r="A1984" t="s">
        <v>929</v>
      </c>
      <c r="H1984" s="14"/>
    </row>
    <row r="1985" spans="1:8" x14ac:dyDescent="0.25">
      <c r="A1985" t="s">
        <v>930</v>
      </c>
      <c r="H1985" s="14"/>
    </row>
    <row r="1986" spans="1:8" x14ac:dyDescent="0.25">
      <c r="A1986" t="s">
        <v>931</v>
      </c>
      <c r="H1986" s="14"/>
    </row>
    <row r="1987" spans="1:8" x14ac:dyDescent="0.25">
      <c r="A1987" t="s">
        <v>932</v>
      </c>
      <c r="H1987" s="14"/>
    </row>
    <row r="1988" spans="1:8" x14ac:dyDescent="0.25">
      <c r="A1988" t="s">
        <v>2053</v>
      </c>
      <c r="H1988" s="14"/>
    </row>
    <row r="1989" spans="1:8" x14ac:dyDescent="0.25">
      <c r="A1989" t="s">
        <v>933</v>
      </c>
      <c r="H1989" s="14"/>
    </row>
    <row r="1990" spans="1:8" x14ac:dyDescent="0.25">
      <c r="A1990" t="s">
        <v>934</v>
      </c>
      <c r="H1990" s="14"/>
    </row>
    <row r="1991" spans="1:8" x14ac:dyDescent="0.25">
      <c r="A1991" t="s">
        <v>1966</v>
      </c>
      <c r="H1991" s="14"/>
    </row>
    <row r="1992" spans="1:8" x14ac:dyDescent="0.25">
      <c r="A1992" t="s">
        <v>1967</v>
      </c>
      <c r="H1992" s="14"/>
    </row>
    <row r="1993" spans="1:8" x14ac:dyDescent="0.25">
      <c r="A1993" t="s">
        <v>935</v>
      </c>
      <c r="H1993" s="14"/>
    </row>
    <row r="1994" spans="1:8" x14ac:dyDescent="0.25">
      <c r="A1994" t="s">
        <v>1968</v>
      </c>
      <c r="H1994" s="14"/>
    </row>
    <row r="1995" spans="1:8" x14ac:dyDescent="0.25">
      <c r="A1995" t="s">
        <v>1969</v>
      </c>
      <c r="H1995" s="14"/>
    </row>
    <row r="1996" spans="1:8" x14ac:dyDescent="0.25">
      <c r="A1996" t="s">
        <v>1970</v>
      </c>
      <c r="H1996" s="14"/>
    </row>
    <row r="1997" spans="1:8" x14ac:dyDescent="0.25">
      <c r="A1997" t="s">
        <v>936</v>
      </c>
      <c r="H1997" s="14"/>
    </row>
    <row r="1998" spans="1:8" x14ac:dyDescent="0.25">
      <c r="A1998" t="s">
        <v>1971</v>
      </c>
      <c r="H1998" s="14"/>
    </row>
    <row r="1999" spans="1:8" x14ac:dyDescent="0.25">
      <c r="A1999" t="s">
        <v>937</v>
      </c>
      <c r="H1999" s="14"/>
    </row>
    <row r="2000" spans="1:8" x14ac:dyDescent="0.25">
      <c r="A2000" t="s">
        <v>1972</v>
      </c>
      <c r="H2000" s="14"/>
    </row>
    <row r="2001" spans="1:8" x14ac:dyDescent="0.25">
      <c r="A2001" t="s">
        <v>938</v>
      </c>
      <c r="H2001" s="14"/>
    </row>
    <row r="2002" spans="1:8" x14ac:dyDescent="0.25">
      <c r="A2002" t="s">
        <v>939</v>
      </c>
      <c r="H2002" s="14"/>
    </row>
    <row r="2003" spans="1:8" x14ac:dyDescent="0.25">
      <c r="A2003" t="s">
        <v>940</v>
      </c>
      <c r="H2003" s="14"/>
    </row>
    <row r="2004" spans="1:8" x14ac:dyDescent="0.25">
      <c r="A2004" t="s">
        <v>941</v>
      </c>
      <c r="H2004" s="14"/>
    </row>
    <row r="2005" spans="1:8" x14ac:dyDescent="0.25">
      <c r="A2005" t="s">
        <v>942</v>
      </c>
      <c r="H2005" s="14"/>
    </row>
    <row r="2006" spans="1:8" x14ac:dyDescent="0.25">
      <c r="A2006" t="s">
        <v>943</v>
      </c>
      <c r="H2006" s="14"/>
    </row>
    <row r="2007" spans="1:8" x14ac:dyDescent="0.25">
      <c r="A2007" t="s">
        <v>1973</v>
      </c>
      <c r="H2007" s="14"/>
    </row>
    <row r="2008" spans="1:8" x14ac:dyDescent="0.25">
      <c r="A2008" t="s">
        <v>944</v>
      </c>
      <c r="H2008" s="14"/>
    </row>
    <row r="2009" spans="1:8" x14ac:dyDescent="0.25">
      <c r="A2009" t="s">
        <v>1974</v>
      </c>
      <c r="H2009" s="14"/>
    </row>
    <row r="2010" spans="1:8" x14ac:dyDescent="0.25">
      <c r="A2010" t="s">
        <v>945</v>
      </c>
      <c r="H2010" s="14"/>
    </row>
    <row r="2011" spans="1:8" x14ac:dyDescent="0.25">
      <c r="A2011" t="s">
        <v>946</v>
      </c>
      <c r="H2011" s="14"/>
    </row>
    <row r="2012" spans="1:8" x14ac:dyDescent="0.25">
      <c r="A2012" t="s">
        <v>1975</v>
      </c>
      <c r="H2012" s="14"/>
    </row>
    <row r="2013" spans="1:8" x14ac:dyDescent="0.25">
      <c r="A2013" t="s">
        <v>1976</v>
      </c>
      <c r="H2013" s="14"/>
    </row>
    <row r="2014" spans="1:8" x14ac:dyDescent="0.25">
      <c r="A2014" t="s">
        <v>947</v>
      </c>
      <c r="H2014" s="14"/>
    </row>
    <row r="2015" spans="1:8" x14ac:dyDescent="0.25">
      <c r="A2015" t="s">
        <v>1977</v>
      </c>
      <c r="H2015" s="14"/>
    </row>
    <row r="2016" spans="1:8" x14ac:dyDescent="0.25">
      <c r="A2016" t="s">
        <v>1978</v>
      </c>
      <c r="H2016" s="14"/>
    </row>
    <row r="2017" spans="1:8" x14ac:dyDescent="0.25">
      <c r="A2017" t="s">
        <v>1979</v>
      </c>
      <c r="H2017" s="14"/>
    </row>
    <row r="2018" spans="1:8" x14ac:dyDescent="0.25">
      <c r="A2018" t="s">
        <v>948</v>
      </c>
      <c r="H2018" s="14"/>
    </row>
    <row r="2019" spans="1:8" x14ac:dyDescent="0.25">
      <c r="A2019" t="s">
        <v>1980</v>
      </c>
      <c r="H2019" s="14"/>
    </row>
    <row r="2020" spans="1:8" x14ac:dyDescent="0.25">
      <c r="A2020" t="s">
        <v>949</v>
      </c>
      <c r="H2020" s="14"/>
    </row>
    <row r="2021" spans="1:8" x14ac:dyDescent="0.25">
      <c r="A2021" t="s">
        <v>1981</v>
      </c>
      <c r="H2021" s="14"/>
    </row>
    <row r="2022" spans="1:8" x14ac:dyDescent="0.25">
      <c r="A2022" t="s">
        <v>950</v>
      </c>
      <c r="H2022" s="14"/>
    </row>
    <row r="2023" spans="1:8" x14ac:dyDescent="0.25">
      <c r="A2023" t="s">
        <v>1982</v>
      </c>
      <c r="H2023" s="14"/>
    </row>
    <row r="2024" spans="1:8" x14ac:dyDescent="0.25">
      <c r="A2024" t="s">
        <v>951</v>
      </c>
      <c r="H2024" s="14"/>
    </row>
    <row r="2025" spans="1:8" x14ac:dyDescent="0.25">
      <c r="A2025" t="s">
        <v>952</v>
      </c>
      <c r="H2025" s="14"/>
    </row>
    <row r="2026" spans="1:8" x14ac:dyDescent="0.25">
      <c r="A2026" t="s">
        <v>953</v>
      </c>
      <c r="H2026" s="14"/>
    </row>
    <row r="2027" spans="1:8" x14ac:dyDescent="0.25">
      <c r="A2027" t="s">
        <v>1983</v>
      </c>
      <c r="H2027" s="14"/>
    </row>
    <row r="2028" spans="1:8" x14ac:dyDescent="0.25">
      <c r="A2028" t="s">
        <v>1984</v>
      </c>
      <c r="H2028" s="14"/>
    </row>
    <row r="2029" spans="1:8" x14ac:dyDescent="0.25">
      <c r="A2029" t="s">
        <v>1985</v>
      </c>
      <c r="H2029" s="14"/>
    </row>
    <row r="2030" spans="1:8" x14ac:dyDescent="0.25">
      <c r="A2030" t="s">
        <v>954</v>
      </c>
      <c r="H2030" s="14"/>
    </row>
    <row r="2031" spans="1:8" x14ac:dyDescent="0.25">
      <c r="A2031" t="s">
        <v>1986</v>
      </c>
      <c r="H2031" s="14"/>
    </row>
    <row r="2032" spans="1:8" x14ac:dyDescent="0.25">
      <c r="A2032" t="s">
        <v>1987</v>
      </c>
      <c r="H2032" s="14"/>
    </row>
    <row r="2033" spans="1:8" x14ac:dyDescent="0.25">
      <c r="A2033" t="s">
        <v>955</v>
      </c>
      <c r="H2033" s="14"/>
    </row>
    <row r="2034" spans="1:8" x14ac:dyDescent="0.25">
      <c r="A2034" t="s">
        <v>1988</v>
      </c>
      <c r="H2034" s="14"/>
    </row>
    <row r="2035" spans="1:8" x14ac:dyDescent="0.25">
      <c r="A2035" t="s">
        <v>1989</v>
      </c>
      <c r="H2035" s="14"/>
    </row>
    <row r="2036" spans="1:8" x14ac:dyDescent="0.25">
      <c r="A2036" t="s">
        <v>956</v>
      </c>
      <c r="H2036" s="14"/>
    </row>
    <row r="2037" spans="1:8" x14ac:dyDescent="0.25">
      <c r="A2037" t="s">
        <v>957</v>
      </c>
      <c r="H2037" s="14"/>
    </row>
    <row r="2038" spans="1:8" x14ac:dyDescent="0.25">
      <c r="A2038" t="s">
        <v>1990</v>
      </c>
      <c r="H2038" s="14"/>
    </row>
    <row r="2039" spans="1:8" x14ac:dyDescent="0.25">
      <c r="A2039" t="s">
        <v>958</v>
      </c>
      <c r="H2039" s="14"/>
    </row>
    <row r="2040" spans="1:8" x14ac:dyDescent="0.25">
      <c r="A2040" t="s">
        <v>1991</v>
      </c>
      <c r="H2040" s="14"/>
    </row>
    <row r="2041" spans="1:8" x14ac:dyDescent="0.25">
      <c r="A2041" t="s">
        <v>1992</v>
      </c>
      <c r="H2041" s="14"/>
    </row>
    <row r="2042" spans="1:8" x14ac:dyDescent="0.25">
      <c r="A2042" t="s">
        <v>1993</v>
      </c>
      <c r="H2042" s="14"/>
    </row>
    <row r="2043" spans="1:8" x14ac:dyDescent="0.25">
      <c r="A2043" t="s">
        <v>959</v>
      </c>
      <c r="H2043" s="14"/>
    </row>
    <row r="2044" spans="1:8" x14ac:dyDescent="0.25">
      <c r="A2044" t="s">
        <v>960</v>
      </c>
      <c r="H2044" s="14"/>
    </row>
    <row r="2045" spans="1:8" x14ac:dyDescent="0.25">
      <c r="A2045" t="s">
        <v>961</v>
      </c>
      <c r="H2045" s="14"/>
    </row>
    <row r="2046" spans="1:8" x14ac:dyDescent="0.25">
      <c r="A2046" t="s">
        <v>962</v>
      </c>
      <c r="H2046" s="14"/>
    </row>
    <row r="2047" spans="1:8" x14ac:dyDescent="0.25">
      <c r="A2047" t="s">
        <v>2054</v>
      </c>
      <c r="H2047" s="14"/>
    </row>
    <row r="2048" spans="1:8" x14ac:dyDescent="0.25">
      <c r="A2048" t="s">
        <v>963</v>
      </c>
      <c r="H2048" s="14"/>
    </row>
    <row r="2049" spans="1:8" x14ac:dyDescent="0.25">
      <c r="A2049" t="s">
        <v>964</v>
      </c>
      <c r="H2049" s="14"/>
    </row>
    <row r="2050" spans="1:8" x14ac:dyDescent="0.25">
      <c r="A2050" t="s">
        <v>1994</v>
      </c>
      <c r="H2050" s="14"/>
    </row>
    <row r="2051" spans="1:8" x14ac:dyDescent="0.25">
      <c r="A2051" t="s">
        <v>1995</v>
      </c>
      <c r="H2051" s="14"/>
    </row>
    <row r="2052" spans="1:8" x14ac:dyDescent="0.25">
      <c r="A2052" t="s">
        <v>965</v>
      </c>
      <c r="H2052" s="14"/>
    </row>
    <row r="2053" spans="1:8" x14ac:dyDescent="0.25">
      <c r="A2053" t="s">
        <v>1996</v>
      </c>
      <c r="H2053" s="14"/>
    </row>
    <row r="2054" spans="1:8" x14ac:dyDescent="0.25">
      <c r="A2054" t="s">
        <v>1997</v>
      </c>
      <c r="H2054" s="14"/>
    </row>
    <row r="2055" spans="1:8" x14ac:dyDescent="0.25">
      <c r="A2055" t="s">
        <v>1998</v>
      </c>
      <c r="H2055" s="14"/>
    </row>
    <row r="2056" spans="1:8" x14ac:dyDescent="0.25">
      <c r="A2056" t="s">
        <v>966</v>
      </c>
      <c r="H2056" s="14"/>
    </row>
    <row r="2057" spans="1:8" x14ac:dyDescent="0.25">
      <c r="A2057" t="s">
        <v>1999</v>
      </c>
      <c r="H2057" s="14"/>
    </row>
    <row r="2058" spans="1:8" x14ac:dyDescent="0.25">
      <c r="A2058" t="s">
        <v>967</v>
      </c>
      <c r="H2058" s="14"/>
    </row>
    <row r="2059" spans="1:8" x14ac:dyDescent="0.25">
      <c r="A2059" t="s">
        <v>2000</v>
      </c>
      <c r="H2059" s="14"/>
    </row>
    <row r="2060" spans="1:8" x14ac:dyDescent="0.25">
      <c r="A2060" t="s">
        <v>968</v>
      </c>
      <c r="H2060" s="14"/>
    </row>
    <row r="2061" spans="1:8" x14ac:dyDescent="0.25">
      <c r="A2061" t="s">
        <v>969</v>
      </c>
      <c r="H2061" s="14"/>
    </row>
    <row r="2062" spans="1:8" x14ac:dyDescent="0.25">
      <c r="A2062" t="s">
        <v>970</v>
      </c>
      <c r="H2062" s="14"/>
    </row>
    <row r="2063" spans="1:8" x14ac:dyDescent="0.25">
      <c r="A2063" t="s">
        <v>971</v>
      </c>
      <c r="H2063" s="14"/>
    </row>
    <row r="2064" spans="1:8" x14ac:dyDescent="0.25">
      <c r="A2064" t="s">
        <v>972</v>
      </c>
      <c r="H2064" s="14"/>
    </row>
    <row r="2065" spans="1:8" x14ac:dyDescent="0.25">
      <c r="A2065" t="s">
        <v>973</v>
      </c>
      <c r="H2065" s="14"/>
    </row>
    <row r="2066" spans="1:8" x14ac:dyDescent="0.25">
      <c r="A2066" t="s">
        <v>2001</v>
      </c>
      <c r="H2066" s="14"/>
    </row>
    <row r="2067" spans="1:8" x14ac:dyDescent="0.25">
      <c r="A2067" t="s">
        <v>974</v>
      </c>
      <c r="H2067" s="14"/>
    </row>
    <row r="2068" spans="1:8" x14ac:dyDescent="0.25">
      <c r="A2068" t="s">
        <v>2002</v>
      </c>
      <c r="H2068" s="14"/>
    </row>
    <row r="2069" spans="1:8" x14ac:dyDescent="0.25">
      <c r="A2069" t="s">
        <v>975</v>
      </c>
      <c r="H2069" s="14"/>
    </row>
    <row r="2070" spans="1:8" x14ac:dyDescent="0.25">
      <c r="A2070" t="s">
        <v>976</v>
      </c>
      <c r="H2070" s="14"/>
    </row>
    <row r="2071" spans="1:8" x14ac:dyDescent="0.25">
      <c r="A2071" t="s">
        <v>2003</v>
      </c>
      <c r="H2071" s="14"/>
    </row>
    <row r="2072" spans="1:8" x14ac:dyDescent="0.25">
      <c r="A2072" t="s">
        <v>2004</v>
      </c>
      <c r="H2072" s="14"/>
    </row>
    <row r="2073" spans="1:8" x14ac:dyDescent="0.25">
      <c r="A2073" t="s">
        <v>977</v>
      </c>
      <c r="H2073" s="14"/>
    </row>
    <row r="2074" spans="1:8" x14ac:dyDescent="0.25">
      <c r="A2074" t="s">
        <v>2005</v>
      </c>
      <c r="H2074" s="14"/>
    </row>
    <row r="2075" spans="1:8" x14ac:dyDescent="0.25">
      <c r="A2075" t="s">
        <v>2006</v>
      </c>
      <c r="H2075" s="14"/>
    </row>
    <row r="2076" spans="1:8" x14ac:dyDescent="0.25">
      <c r="A2076" t="s">
        <v>2007</v>
      </c>
      <c r="H2076" s="14"/>
    </row>
    <row r="2077" spans="1:8" x14ac:dyDescent="0.25">
      <c r="A2077" t="s">
        <v>978</v>
      </c>
      <c r="H2077" s="14"/>
    </row>
    <row r="2078" spans="1:8" x14ac:dyDescent="0.25">
      <c r="A2078" t="s">
        <v>2008</v>
      </c>
      <c r="H2078" s="14"/>
    </row>
    <row r="2079" spans="1:8" x14ac:dyDescent="0.25">
      <c r="A2079" t="s">
        <v>979</v>
      </c>
      <c r="H2079" s="14"/>
    </row>
    <row r="2080" spans="1:8" x14ac:dyDescent="0.25">
      <c r="A2080" t="s">
        <v>2009</v>
      </c>
      <c r="H2080" s="14"/>
    </row>
    <row r="2081" spans="1:8" x14ac:dyDescent="0.25">
      <c r="A2081" t="s">
        <v>980</v>
      </c>
      <c r="H2081" s="14"/>
    </row>
    <row r="2082" spans="1:8" x14ac:dyDescent="0.25">
      <c r="A2082" t="s">
        <v>2010</v>
      </c>
      <c r="H2082" s="14"/>
    </row>
    <row r="2083" spans="1:8" x14ac:dyDescent="0.25">
      <c r="A2083" t="s">
        <v>981</v>
      </c>
      <c r="H2083" s="14"/>
    </row>
    <row r="2084" spans="1:8" x14ac:dyDescent="0.25">
      <c r="A2084" t="s">
        <v>982</v>
      </c>
      <c r="H2084" s="14"/>
    </row>
    <row r="2085" spans="1:8" x14ac:dyDescent="0.25">
      <c r="A2085" t="s">
        <v>983</v>
      </c>
      <c r="H2085" s="14"/>
    </row>
    <row r="2086" spans="1:8" x14ac:dyDescent="0.25">
      <c r="A2086" t="s">
        <v>2011</v>
      </c>
      <c r="H2086" s="14"/>
    </row>
    <row r="2087" spans="1:8" x14ac:dyDescent="0.25">
      <c r="A2087" t="s">
        <v>2012</v>
      </c>
      <c r="H2087" s="14"/>
    </row>
    <row r="2088" spans="1:8" x14ac:dyDescent="0.25">
      <c r="A2088" t="s">
        <v>2013</v>
      </c>
      <c r="H2088" s="14"/>
    </row>
    <row r="2089" spans="1:8" x14ac:dyDescent="0.25">
      <c r="A2089" t="s">
        <v>984</v>
      </c>
      <c r="H2089" s="14"/>
    </row>
    <row r="2090" spans="1:8" x14ac:dyDescent="0.25">
      <c r="A2090" t="s">
        <v>2014</v>
      </c>
      <c r="H2090" s="14"/>
    </row>
    <row r="2091" spans="1:8" x14ac:dyDescent="0.25">
      <c r="A2091" t="s">
        <v>2015</v>
      </c>
      <c r="H2091" s="14"/>
    </row>
    <row r="2092" spans="1:8" x14ac:dyDescent="0.25">
      <c r="A2092" t="s">
        <v>985</v>
      </c>
      <c r="H2092" s="14"/>
    </row>
    <row r="2093" spans="1:8" x14ac:dyDescent="0.25">
      <c r="A2093" t="s">
        <v>2016</v>
      </c>
      <c r="H2093" s="14"/>
    </row>
    <row r="2094" spans="1:8" x14ac:dyDescent="0.25">
      <c r="A2094" t="s">
        <v>2017</v>
      </c>
      <c r="H2094" s="14"/>
    </row>
    <row r="2095" spans="1:8" x14ac:dyDescent="0.25">
      <c r="A2095" t="s">
        <v>986</v>
      </c>
      <c r="H2095" s="14"/>
    </row>
    <row r="2096" spans="1:8" x14ac:dyDescent="0.25">
      <c r="A2096" t="s">
        <v>987</v>
      </c>
      <c r="H2096" s="14"/>
    </row>
    <row r="2097" spans="1:8" x14ac:dyDescent="0.25">
      <c r="A2097" t="s">
        <v>2018</v>
      </c>
      <c r="H2097" s="14"/>
    </row>
    <row r="2098" spans="1:8" x14ac:dyDescent="0.25">
      <c r="A2098" t="s">
        <v>988</v>
      </c>
      <c r="H2098" s="14"/>
    </row>
    <row r="2099" spans="1:8" x14ac:dyDescent="0.25">
      <c r="A2099" t="s">
        <v>2019</v>
      </c>
      <c r="H2099" s="14"/>
    </row>
    <row r="2100" spans="1:8" x14ac:dyDescent="0.25">
      <c r="A2100" t="s">
        <v>2020</v>
      </c>
      <c r="H2100" s="14"/>
    </row>
    <row r="2101" spans="1:8" x14ac:dyDescent="0.25">
      <c r="A2101" t="s">
        <v>2021</v>
      </c>
      <c r="H2101" s="14"/>
    </row>
    <row r="2102" spans="1:8" x14ac:dyDescent="0.25">
      <c r="A2102" t="s">
        <v>989</v>
      </c>
      <c r="H2102" s="14"/>
    </row>
    <row r="2103" spans="1:8" x14ac:dyDescent="0.25">
      <c r="A2103" t="s">
        <v>990</v>
      </c>
      <c r="H2103" s="14"/>
    </row>
    <row r="2104" spans="1:8" x14ac:dyDescent="0.25">
      <c r="A2104" t="s">
        <v>991</v>
      </c>
      <c r="H2104" s="14"/>
    </row>
    <row r="2105" spans="1:8" x14ac:dyDescent="0.25">
      <c r="A2105" t="s">
        <v>23</v>
      </c>
      <c r="H2105" s="14"/>
    </row>
    <row r="2106" spans="1:8" x14ac:dyDescent="0.25">
      <c r="A2106" t="s">
        <v>24</v>
      </c>
      <c r="H2106" s="14"/>
    </row>
    <row r="2107" spans="1:8" x14ac:dyDescent="0.25">
      <c r="A2107" t="s">
        <v>25</v>
      </c>
      <c r="H2107" s="14"/>
    </row>
    <row r="2108" spans="1:8" x14ac:dyDescent="0.25">
      <c r="A2108" t="s">
        <v>26</v>
      </c>
      <c r="H2108" s="14"/>
    </row>
    <row r="2109" spans="1:8" x14ac:dyDescent="0.25">
      <c r="A2109" t="s">
        <v>27</v>
      </c>
      <c r="H2109" s="14"/>
    </row>
    <row r="2110" spans="1:8" x14ac:dyDescent="0.25">
      <c r="A2110" t="s">
        <v>28</v>
      </c>
      <c r="H2110" s="14"/>
    </row>
    <row r="2111" spans="1:8" x14ac:dyDescent="0.25">
      <c r="A2111" t="s">
        <v>29</v>
      </c>
      <c r="H2111" s="14"/>
    </row>
    <row r="2112" spans="1:8" x14ac:dyDescent="0.25">
      <c r="A2112" t="s">
        <v>30</v>
      </c>
      <c r="H2112" s="14"/>
    </row>
    <row r="2113" spans="1:8" x14ac:dyDescent="0.25">
      <c r="A2113" t="s">
        <v>995</v>
      </c>
      <c r="H2113" s="14"/>
    </row>
    <row r="2114" spans="1:8" x14ac:dyDescent="0.25">
      <c r="A2114" t="s">
        <v>996</v>
      </c>
      <c r="H2114" s="14"/>
    </row>
    <row r="2115" spans="1:8" x14ac:dyDescent="0.25">
      <c r="A2115" t="s">
        <v>997</v>
      </c>
      <c r="H2115" s="14"/>
    </row>
    <row r="2116" spans="1:8" x14ac:dyDescent="0.25">
      <c r="H2116" s="14"/>
    </row>
    <row r="2117" spans="1:8" x14ac:dyDescent="0.25">
      <c r="H2117" s="14"/>
    </row>
    <row r="2118" spans="1:8" x14ac:dyDescent="0.25">
      <c r="H2118" s="14"/>
    </row>
    <row r="2119" spans="1:8" x14ac:dyDescent="0.25">
      <c r="H2119" s="14"/>
    </row>
    <row r="2120" spans="1:8" x14ac:dyDescent="0.25">
      <c r="H2120" s="14"/>
    </row>
    <row r="2121" spans="1:8" x14ac:dyDescent="0.25">
      <c r="H2121" s="14"/>
    </row>
    <row r="2122" spans="1:8" x14ac:dyDescent="0.25">
      <c r="H2122" s="14"/>
    </row>
    <row r="2123" spans="1:8" x14ac:dyDescent="0.25">
      <c r="H2123" s="14"/>
    </row>
    <row r="2124" spans="1:8" x14ac:dyDescent="0.25">
      <c r="H2124" s="14"/>
    </row>
    <row r="2125" spans="1:8" x14ac:dyDescent="0.25">
      <c r="H2125" s="14"/>
    </row>
    <row r="2126" spans="1:8" x14ac:dyDescent="0.25">
      <c r="H2126" s="14"/>
    </row>
    <row r="2127" spans="1:8" x14ac:dyDescent="0.25">
      <c r="H2127" s="14"/>
    </row>
    <row r="2128" spans="1:8" x14ac:dyDescent="0.25">
      <c r="H2128" s="14"/>
    </row>
    <row r="2129" spans="8:8" x14ac:dyDescent="0.25">
      <c r="H2129" s="14"/>
    </row>
    <row r="2130" spans="8:8" x14ac:dyDescent="0.25">
      <c r="H2130" s="14"/>
    </row>
    <row r="2131" spans="8:8" x14ac:dyDescent="0.25">
      <c r="H2131" s="14"/>
    </row>
    <row r="2132" spans="8:8" x14ac:dyDescent="0.25">
      <c r="H2132" s="14"/>
    </row>
    <row r="2133" spans="8:8" x14ac:dyDescent="0.25">
      <c r="H2133" s="14"/>
    </row>
    <row r="2134" spans="8:8" x14ac:dyDescent="0.25">
      <c r="H2134" s="14"/>
    </row>
    <row r="2135" spans="8:8" x14ac:dyDescent="0.25">
      <c r="H2135" s="14"/>
    </row>
    <row r="2136" spans="8:8" x14ac:dyDescent="0.25">
      <c r="H2136" s="14"/>
    </row>
    <row r="2137" spans="8:8" x14ac:dyDescent="0.25">
      <c r="H2137" s="14"/>
    </row>
    <row r="2138" spans="8:8" x14ac:dyDescent="0.25">
      <c r="H2138" s="14"/>
    </row>
    <row r="2139" spans="8:8" x14ac:dyDescent="0.25">
      <c r="H2139" s="14"/>
    </row>
    <row r="2140" spans="8:8" x14ac:dyDescent="0.25">
      <c r="H2140" s="14"/>
    </row>
    <row r="2141" spans="8:8" x14ac:dyDescent="0.25">
      <c r="H2141" s="14"/>
    </row>
    <row r="2142" spans="8:8" x14ac:dyDescent="0.25">
      <c r="H2142" s="14"/>
    </row>
    <row r="2143" spans="8:8" x14ac:dyDescent="0.25">
      <c r="H2143" s="14"/>
    </row>
    <row r="2144" spans="8:8" x14ac:dyDescent="0.25">
      <c r="H2144" s="14"/>
    </row>
    <row r="2145" spans="8:8" x14ac:dyDescent="0.25">
      <c r="H2145" s="14"/>
    </row>
    <row r="2146" spans="8:8" x14ac:dyDescent="0.25">
      <c r="H2146" s="14"/>
    </row>
    <row r="2147" spans="8:8" x14ac:dyDescent="0.25">
      <c r="H2147" s="14"/>
    </row>
    <row r="2148" spans="8:8" x14ac:dyDescent="0.25">
      <c r="H2148" s="14"/>
    </row>
    <row r="2149" spans="8:8" x14ac:dyDescent="0.25">
      <c r="H2149" s="14"/>
    </row>
    <row r="2150" spans="8:8" x14ac:dyDescent="0.25">
      <c r="H2150" s="14"/>
    </row>
    <row r="2151" spans="8:8" x14ac:dyDescent="0.25">
      <c r="H2151" s="14"/>
    </row>
    <row r="2152" spans="8:8" x14ac:dyDescent="0.25">
      <c r="H2152" s="14"/>
    </row>
    <row r="2153" spans="8:8" x14ac:dyDescent="0.25">
      <c r="H2153" s="14"/>
    </row>
    <row r="2154" spans="8:8" x14ac:dyDescent="0.25">
      <c r="H2154" s="14"/>
    </row>
    <row r="2155" spans="8:8" x14ac:dyDescent="0.25">
      <c r="H2155" s="14"/>
    </row>
    <row r="2156" spans="8:8" x14ac:dyDescent="0.25">
      <c r="H2156" s="14"/>
    </row>
    <row r="2157" spans="8:8" x14ac:dyDescent="0.25">
      <c r="H2157" s="14"/>
    </row>
    <row r="2158" spans="8:8" x14ac:dyDescent="0.25">
      <c r="H2158" s="14"/>
    </row>
    <row r="2159" spans="8:8" x14ac:dyDescent="0.25">
      <c r="H2159" s="14"/>
    </row>
    <row r="2160" spans="8:8" x14ac:dyDescent="0.25">
      <c r="H2160" s="14"/>
    </row>
    <row r="2161" spans="8:8" x14ac:dyDescent="0.25">
      <c r="H2161" s="14"/>
    </row>
    <row r="2162" spans="8:8" x14ac:dyDescent="0.25">
      <c r="H2162" s="14"/>
    </row>
    <row r="2163" spans="8:8" x14ac:dyDescent="0.25">
      <c r="H2163" s="14"/>
    </row>
    <row r="2164" spans="8:8" x14ac:dyDescent="0.25">
      <c r="H2164" s="14"/>
    </row>
    <row r="2165" spans="8:8" x14ac:dyDescent="0.25">
      <c r="H2165" s="14"/>
    </row>
    <row r="2166" spans="8:8" x14ac:dyDescent="0.25">
      <c r="H2166" s="14"/>
    </row>
    <row r="2167" spans="8:8" x14ac:dyDescent="0.25">
      <c r="H2167" s="14"/>
    </row>
    <row r="2168" spans="8:8" x14ac:dyDescent="0.25">
      <c r="H2168" s="14"/>
    </row>
    <row r="2169" spans="8:8" x14ac:dyDescent="0.25">
      <c r="H2169" s="14"/>
    </row>
    <row r="2170" spans="8:8" x14ac:dyDescent="0.25">
      <c r="H2170" s="14"/>
    </row>
    <row r="2171" spans="8:8" x14ac:dyDescent="0.25">
      <c r="H2171" s="14"/>
    </row>
    <row r="2172" spans="8:8" x14ac:dyDescent="0.25">
      <c r="H2172" s="14"/>
    </row>
    <row r="2173" spans="8:8" x14ac:dyDescent="0.25">
      <c r="H2173" s="14"/>
    </row>
    <row r="2174" spans="8:8" x14ac:dyDescent="0.25">
      <c r="H2174" s="14"/>
    </row>
    <row r="2175" spans="8:8" x14ac:dyDescent="0.25">
      <c r="H2175" s="14"/>
    </row>
    <row r="2176" spans="8:8" x14ac:dyDescent="0.25">
      <c r="H2176" s="14"/>
    </row>
    <row r="2177" spans="8:8" x14ac:dyDescent="0.25">
      <c r="H2177" s="14"/>
    </row>
    <row r="2178" spans="8:8" x14ac:dyDescent="0.25">
      <c r="H2178" s="14"/>
    </row>
    <row r="2179" spans="8:8" x14ac:dyDescent="0.25">
      <c r="H2179" s="14"/>
    </row>
    <row r="2180" spans="8:8" x14ac:dyDescent="0.25">
      <c r="H2180" s="14"/>
    </row>
    <row r="2181" spans="8:8" x14ac:dyDescent="0.25">
      <c r="H2181" s="14"/>
    </row>
    <row r="2182" spans="8:8" x14ac:dyDescent="0.25">
      <c r="H2182" s="14"/>
    </row>
    <row r="2183" spans="8:8" x14ac:dyDescent="0.25">
      <c r="H2183" s="14"/>
    </row>
    <row r="2184" spans="8:8" x14ac:dyDescent="0.25">
      <c r="H2184" s="14"/>
    </row>
    <row r="2185" spans="8:8" x14ac:dyDescent="0.25">
      <c r="H2185" s="14"/>
    </row>
    <row r="2186" spans="8:8" x14ac:dyDescent="0.25">
      <c r="H2186" s="14"/>
    </row>
    <row r="2187" spans="8:8" x14ac:dyDescent="0.25">
      <c r="H2187" s="14"/>
    </row>
    <row r="2188" spans="8:8" x14ac:dyDescent="0.25">
      <c r="H2188" s="14"/>
    </row>
    <row r="2189" spans="8:8" x14ac:dyDescent="0.25">
      <c r="H2189" s="14"/>
    </row>
    <row r="2190" spans="8:8" x14ac:dyDescent="0.25">
      <c r="H2190" s="14"/>
    </row>
    <row r="2191" spans="8:8" x14ac:dyDescent="0.25">
      <c r="H2191" s="14"/>
    </row>
    <row r="2192" spans="8:8" x14ac:dyDescent="0.25">
      <c r="H2192" s="14"/>
    </row>
    <row r="2193" spans="8:8" x14ac:dyDescent="0.25">
      <c r="H2193" s="14"/>
    </row>
    <row r="2194" spans="8:8" x14ac:dyDescent="0.25">
      <c r="H2194" s="14"/>
    </row>
    <row r="2195" spans="8:8" x14ac:dyDescent="0.25">
      <c r="H2195" s="14"/>
    </row>
    <row r="2196" spans="8:8" x14ac:dyDescent="0.25">
      <c r="H2196" s="14"/>
    </row>
    <row r="2197" spans="8:8" x14ac:dyDescent="0.25">
      <c r="H2197" s="14"/>
    </row>
    <row r="2198" spans="8:8" x14ac:dyDescent="0.25">
      <c r="H2198" s="14"/>
    </row>
    <row r="2199" spans="8:8" x14ac:dyDescent="0.25">
      <c r="H2199" s="14"/>
    </row>
    <row r="2200" spans="8:8" x14ac:dyDescent="0.25">
      <c r="H2200" s="14"/>
    </row>
    <row r="2201" spans="8:8" x14ac:dyDescent="0.25">
      <c r="H2201" s="14"/>
    </row>
    <row r="2202" spans="8:8" x14ac:dyDescent="0.25">
      <c r="H2202" s="14"/>
    </row>
    <row r="2203" spans="8:8" x14ac:dyDescent="0.25">
      <c r="H2203" s="14"/>
    </row>
    <row r="2204" spans="8:8" x14ac:dyDescent="0.25">
      <c r="H2204" s="14"/>
    </row>
    <row r="2205" spans="8:8" x14ac:dyDescent="0.25">
      <c r="H2205" s="14"/>
    </row>
    <row r="2206" spans="8:8" x14ac:dyDescent="0.25">
      <c r="H2206" s="14"/>
    </row>
    <row r="2207" spans="8:8" x14ac:dyDescent="0.25">
      <c r="H2207" s="14"/>
    </row>
    <row r="2208" spans="8:8" x14ac:dyDescent="0.25">
      <c r="H2208" s="14"/>
    </row>
    <row r="2209" spans="8:8" x14ac:dyDescent="0.25">
      <c r="H2209" s="14"/>
    </row>
    <row r="2210" spans="8:8" x14ac:dyDescent="0.25">
      <c r="H2210" s="14"/>
    </row>
    <row r="2211" spans="8:8" x14ac:dyDescent="0.25">
      <c r="H2211" s="14"/>
    </row>
    <row r="2212" spans="8:8" x14ac:dyDescent="0.25">
      <c r="H2212" s="14"/>
    </row>
    <row r="2213" spans="8:8" x14ac:dyDescent="0.25">
      <c r="H2213" s="14"/>
    </row>
    <row r="2214" spans="8:8" x14ac:dyDescent="0.25">
      <c r="H2214" s="14"/>
    </row>
    <row r="2215" spans="8:8" x14ac:dyDescent="0.25">
      <c r="H2215" s="14"/>
    </row>
    <row r="2216" spans="8:8" x14ac:dyDescent="0.25">
      <c r="H2216" s="14"/>
    </row>
    <row r="2217" spans="8:8" x14ac:dyDescent="0.25">
      <c r="H2217" s="14"/>
    </row>
    <row r="2218" spans="8:8" x14ac:dyDescent="0.25">
      <c r="H2218" s="14"/>
    </row>
    <row r="2219" spans="8:8" x14ac:dyDescent="0.25">
      <c r="H2219" s="14"/>
    </row>
    <row r="2220" spans="8:8" x14ac:dyDescent="0.25">
      <c r="H2220" s="14"/>
    </row>
    <row r="2221" spans="8:8" x14ac:dyDescent="0.25">
      <c r="H2221" s="14"/>
    </row>
    <row r="2222" spans="8:8" x14ac:dyDescent="0.25">
      <c r="H2222" s="14"/>
    </row>
    <row r="2223" spans="8:8" x14ac:dyDescent="0.25">
      <c r="H2223" s="14"/>
    </row>
    <row r="2224" spans="8:8" x14ac:dyDescent="0.25">
      <c r="H2224" s="14"/>
    </row>
    <row r="2225" spans="8:8" x14ac:dyDescent="0.25">
      <c r="H2225" s="14"/>
    </row>
    <row r="2226" spans="8:8" x14ac:dyDescent="0.25">
      <c r="H2226" s="14"/>
    </row>
    <row r="2227" spans="8:8" x14ac:dyDescent="0.25">
      <c r="H2227" s="14"/>
    </row>
    <row r="2228" spans="8:8" x14ac:dyDescent="0.25">
      <c r="H2228" s="14"/>
    </row>
    <row r="2229" spans="8:8" x14ac:dyDescent="0.25">
      <c r="H2229" s="14"/>
    </row>
    <row r="2230" spans="8:8" x14ac:dyDescent="0.25">
      <c r="H2230" s="14"/>
    </row>
    <row r="2231" spans="8:8" x14ac:dyDescent="0.25">
      <c r="H2231" s="14"/>
    </row>
    <row r="2232" spans="8:8" x14ac:dyDescent="0.25">
      <c r="H2232" s="14"/>
    </row>
    <row r="2233" spans="8:8" x14ac:dyDescent="0.25">
      <c r="H2233" s="14"/>
    </row>
    <row r="2234" spans="8:8" x14ac:dyDescent="0.25">
      <c r="H2234" s="14"/>
    </row>
    <row r="2235" spans="8:8" x14ac:dyDescent="0.25">
      <c r="H2235" s="14"/>
    </row>
    <row r="2236" spans="8:8" x14ac:dyDescent="0.25">
      <c r="H2236" s="14"/>
    </row>
    <row r="2237" spans="8:8" x14ac:dyDescent="0.25">
      <c r="H2237" s="14"/>
    </row>
    <row r="2238" spans="8:8" x14ac:dyDescent="0.25">
      <c r="H2238" s="14"/>
    </row>
    <row r="2239" spans="8:8" x14ac:dyDescent="0.25">
      <c r="H2239" s="14"/>
    </row>
    <row r="2240" spans="8:8" x14ac:dyDescent="0.25">
      <c r="H2240" s="14"/>
    </row>
    <row r="2241" spans="8:8" x14ac:dyDescent="0.25">
      <c r="H2241" s="14"/>
    </row>
    <row r="2242" spans="8:8" x14ac:dyDescent="0.25">
      <c r="H2242" s="14"/>
    </row>
    <row r="2243" spans="8:8" x14ac:dyDescent="0.25">
      <c r="H2243" s="14"/>
    </row>
    <row r="2244" spans="8:8" x14ac:dyDescent="0.25">
      <c r="H2244" s="14"/>
    </row>
    <row r="2245" spans="8:8" x14ac:dyDescent="0.25">
      <c r="H2245" s="14"/>
    </row>
    <row r="2246" spans="8:8" x14ac:dyDescent="0.25">
      <c r="H2246" s="14"/>
    </row>
    <row r="2247" spans="8:8" x14ac:dyDescent="0.25">
      <c r="H2247" s="14"/>
    </row>
    <row r="2248" spans="8:8" x14ac:dyDescent="0.25">
      <c r="H2248" s="14"/>
    </row>
    <row r="2249" spans="8:8" x14ac:dyDescent="0.25">
      <c r="H2249" s="14"/>
    </row>
    <row r="2250" spans="8:8" x14ac:dyDescent="0.25">
      <c r="H2250" s="14"/>
    </row>
    <row r="2251" spans="8:8" x14ac:dyDescent="0.25">
      <c r="H2251" s="14"/>
    </row>
    <row r="2252" spans="8:8" x14ac:dyDescent="0.25">
      <c r="H2252" s="14"/>
    </row>
    <row r="2253" spans="8:8" x14ac:dyDescent="0.25">
      <c r="H2253" s="14"/>
    </row>
    <row r="2254" spans="8:8" x14ac:dyDescent="0.25">
      <c r="H2254" s="14"/>
    </row>
    <row r="2255" spans="8:8" x14ac:dyDescent="0.25">
      <c r="H2255" s="14"/>
    </row>
    <row r="2256" spans="8:8" x14ac:dyDescent="0.25">
      <c r="H2256" s="14"/>
    </row>
    <row r="2257" spans="8:8" x14ac:dyDescent="0.25">
      <c r="H2257" s="14"/>
    </row>
    <row r="2258" spans="8:8" x14ac:dyDescent="0.25">
      <c r="H2258" s="14"/>
    </row>
    <row r="2259" spans="8:8" x14ac:dyDescent="0.25">
      <c r="H2259" s="14"/>
    </row>
    <row r="2260" spans="8:8" x14ac:dyDescent="0.25">
      <c r="H2260" s="14"/>
    </row>
    <row r="2261" spans="8:8" x14ac:dyDescent="0.25">
      <c r="H2261" s="14"/>
    </row>
    <row r="2262" spans="8:8" x14ac:dyDescent="0.25">
      <c r="H2262" s="14"/>
    </row>
    <row r="2263" spans="8:8" x14ac:dyDescent="0.25">
      <c r="H2263" s="14"/>
    </row>
    <row r="2264" spans="8:8" x14ac:dyDescent="0.25">
      <c r="H2264" s="14"/>
    </row>
    <row r="2265" spans="8:8" x14ac:dyDescent="0.25">
      <c r="H2265" s="14"/>
    </row>
    <row r="2266" spans="8:8" x14ac:dyDescent="0.25">
      <c r="H2266" s="14"/>
    </row>
    <row r="2267" spans="8:8" x14ac:dyDescent="0.25">
      <c r="H2267" s="14"/>
    </row>
    <row r="2268" spans="8:8" x14ac:dyDescent="0.25">
      <c r="H2268" s="14"/>
    </row>
    <row r="2269" spans="8:8" x14ac:dyDescent="0.25">
      <c r="H2269" s="14"/>
    </row>
    <row r="2270" spans="8:8" x14ac:dyDescent="0.25">
      <c r="H2270" s="14"/>
    </row>
    <row r="2271" spans="8:8" x14ac:dyDescent="0.25">
      <c r="H2271" s="14"/>
    </row>
    <row r="2272" spans="8:8" x14ac:dyDescent="0.25">
      <c r="H2272" s="14"/>
    </row>
    <row r="2273" spans="8:8" x14ac:dyDescent="0.25">
      <c r="H2273" s="14"/>
    </row>
    <row r="2274" spans="8:8" x14ac:dyDescent="0.25">
      <c r="H2274" s="14"/>
    </row>
    <row r="2275" spans="8:8" x14ac:dyDescent="0.25">
      <c r="H2275" s="14"/>
    </row>
    <row r="2276" spans="8:8" x14ac:dyDescent="0.25">
      <c r="H2276" s="14"/>
    </row>
    <row r="2277" spans="8:8" x14ac:dyDescent="0.25">
      <c r="H2277" s="14"/>
    </row>
    <row r="2278" spans="8:8" x14ac:dyDescent="0.25">
      <c r="H2278" s="14"/>
    </row>
    <row r="2279" spans="8:8" x14ac:dyDescent="0.25">
      <c r="H2279" s="14"/>
    </row>
    <row r="2280" spans="8:8" x14ac:dyDescent="0.25">
      <c r="H2280" s="14"/>
    </row>
    <row r="2281" spans="8:8" x14ac:dyDescent="0.25">
      <c r="H2281" s="14"/>
    </row>
    <row r="2282" spans="8:8" x14ac:dyDescent="0.25">
      <c r="H2282" s="14"/>
    </row>
    <row r="2283" spans="8:8" x14ac:dyDescent="0.25">
      <c r="H2283" s="14"/>
    </row>
    <row r="2284" spans="8:8" x14ac:dyDescent="0.25">
      <c r="H2284" s="14"/>
    </row>
    <row r="2285" spans="8:8" x14ac:dyDescent="0.25">
      <c r="H2285" s="14"/>
    </row>
    <row r="2286" spans="8:8" x14ac:dyDescent="0.25">
      <c r="H2286" s="14"/>
    </row>
    <row r="2287" spans="8:8" x14ac:dyDescent="0.25">
      <c r="H2287" s="14"/>
    </row>
    <row r="2288" spans="8:8" x14ac:dyDescent="0.25">
      <c r="H2288" s="14"/>
    </row>
    <row r="2289" spans="8:8" x14ac:dyDescent="0.25">
      <c r="H2289" s="14"/>
    </row>
    <row r="2290" spans="8:8" x14ac:dyDescent="0.25">
      <c r="H2290" s="14"/>
    </row>
    <row r="2291" spans="8:8" x14ac:dyDescent="0.25">
      <c r="H2291" s="14"/>
    </row>
    <row r="2292" spans="8:8" x14ac:dyDescent="0.25">
      <c r="H2292" s="14"/>
    </row>
    <row r="2293" spans="8:8" x14ac:dyDescent="0.25">
      <c r="H2293" s="14"/>
    </row>
    <row r="2294" spans="8:8" x14ac:dyDescent="0.25">
      <c r="H2294" s="14"/>
    </row>
    <row r="2295" spans="8:8" x14ac:dyDescent="0.25">
      <c r="H2295" s="14"/>
    </row>
    <row r="2296" spans="8:8" x14ac:dyDescent="0.25">
      <c r="H2296" s="14"/>
    </row>
    <row r="2297" spans="8:8" x14ac:dyDescent="0.25">
      <c r="H2297" s="14"/>
    </row>
    <row r="2298" spans="8:8" x14ac:dyDescent="0.25">
      <c r="H2298" s="14"/>
    </row>
    <row r="2299" spans="8:8" x14ac:dyDescent="0.25">
      <c r="H2299" s="14"/>
    </row>
    <row r="2300" spans="8:8" x14ac:dyDescent="0.25">
      <c r="H2300" s="14"/>
    </row>
    <row r="2301" spans="8:8" x14ac:dyDescent="0.25">
      <c r="H2301" s="14"/>
    </row>
    <row r="2302" spans="8:8" x14ac:dyDescent="0.25">
      <c r="H2302" s="14"/>
    </row>
    <row r="2303" spans="8:8" x14ac:dyDescent="0.25">
      <c r="H2303" s="14"/>
    </row>
    <row r="2304" spans="8:8" x14ac:dyDescent="0.25">
      <c r="H2304" s="14"/>
    </row>
    <row r="2305" spans="8:8" x14ac:dyDescent="0.25">
      <c r="H2305" s="14"/>
    </row>
    <row r="2306" spans="8:8" x14ac:dyDescent="0.25">
      <c r="H2306" s="14"/>
    </row>
    <row r="2307" spans="8:8" x14ac:dyDescent="0.25">
      <c r="H2307" s="14"/>
    </row>
    <row r="2308" spans="8:8" x14ac:dyDescent="0.25">
      <c r="H2308" s="14"/>
    </row>
    <row r="2309" spans="8:8" x14ac:dyDescent="0.25">
      <c r="H2309" s="14"/>
    </row>
    <row r="2310" spans="8:8" x14ac:dyDescent="0.25">
      <c r="H2310" s="14"/>
    </row>
    <row r="2311" spans="8:8" x14ac:dyDescent="0.25">
      <c r="H2311" s="14"/>
    </row>
    <row r="2312" spans="8:8" x14ac:dyDescent="0.25">
      <c r="H2312" s="14"/>
    </row>
    <row r="2313" spans="8:8" x14ac:dyDescent="0.25">
      <c r="H2313" s="14"/>
    </row>
    <row r="2314" spans="8:8" x14ac:dyDescent="0.25">
      <c r="H2314" s="14"/>
    </row>
    <row r="2315" spans="8:8" x14ac:dyDescent="0.25">
      <c r="H2315" s="14"/>
    </row>
    <row r="2316" spans="8:8" x14ac:dyDescent="0.25">
      <c r="H2316" s="14"/>
    </row>
    <row r="2317" spans="8:8" x14ac:dyDescent="0.25">
      <c r="H2317" s="14"/>
    </row>
    <row r="2318" spans="8:8" x14ac:dyDescent="0.25">
      <c r="H2318" s="14"/>
    </row>
    <row r="2319" spans="8:8" x14ac:dyDescent="0.25">
      <c r="H2319" s="14"/>
    </row>
    <row r="2320" spans="8:8" x14ac:dyDescent="0.25">
      <c r="H2320" s="14"/>
    </row>
    <row r="2321" spans="8:8" x14ac:dyDescent="0.25">
      <c r="H2321" s="14"/>
    </row>
    <row r="2322" spans="8:8" x14ac:dyDescent="0.25">
      <c r="H2322" s="14"/>
    </row>
    <row r="2323" spans="8:8" x14ac:dyDescent="0.25">
      <c r="H2323" s="14"/>
    </row>
    <row r="2324" spans="8:8" x14ac:dyDescent="0.25">
      <c r="H2324" s="14"/>
    </row>
    <row r="2325" spans="8:8" x14ac:dyDescent="0.25">
      <c r="H2325" s="14"/>
    </row>
    <row r="2326" spans="8:8" x14ac:dyDescent="0.25">
      <c r="H2326" s="14"/>
    </row>
    <row r="2327" spans="8:8" x14ac:dyDescent="0.25">
      <c r="H2327" s="14"/>
    </row>
    <row r="2328" spans="8:8" x14ac:dyDescent="0.25">
      <c r="H2328" s="14"/>
    </row>
    <row r="2329" spans="8:8" x14ac:dyDescent="0.25">
      <c r="H2329" s="14"/>
    </row>
    <row r="2330" spans="8:8" x14ac:dyDescent="0.25">
      <c r="H2330" s="14"/>
    </row>
    <row r="2331" spans="8:8" x14ac:dyDescent="0.25">
      <c r="H2331" s="14"/>
    </row>
    <row r="2332" spans="8:8" x14ac:dyDescent="0.25">
      <c r="H2332" s="14"/>
    </row>
    <row r="2333" spans="8:8" x14ac:dyDescent="0.25">
      <c r="H2333" s="14"/>
    </row>
    <row r="2334" spans="8:8" x14ac:dyDescent="0.25">
      <c r="H2334" s="14"/>
    </row>
    <row r="2335" spans="8:8" x14ac:dyDescent="0.25">
      <c r="H2335" s="14"/>
    </row>
    <row r="2336" spans="8:8" x14ac:dyDescent="0.25">
      <c r="H2336" s="14"/>
    </row>
    <row r="2337" spans="8:8" x14ac:dyDescent="0.25">
      <c r="H2337" s="14"/>
    </row>
    <row r="2338" spans="8:8" x14ac:dyDescent="0.25">
      <c r="H2338" s="14"/>
    </row>
    <row r="2339" spans="8:8" x14ac:dyDescent="0.25">
      <c r="H2339" s="14"/>
    </row>
    <row r="2340" spans="8:8" x14ac:dyDescent="0.25">
      <c r="H2340" s="14"/>
    </row>
    <row r="2341" spans="8:8" x14ac:dyDescent="0.25">
      <c r="H2341" s="14"/>
    </row>
    <row r="2342" spans="8:8" x14ac:dyDescent="0.25">
      <c r="H2342" s="14"/>
    </row>
    <row r="2343" spans="8:8" x14ac:dyDescent="0.25">
      <c r="H2343" s="14"/>
    </row>
    <row r="2344" spans="8:8" x14ac:dyDescent="0.25">
      <c r="H2344" s="14"/>
    </row>
    <row r="2345" spans="8:8" x14ac:dyDescent="0.25">
      <c r="H2345" s="14"/>
    </row>
    <row r="2346" spans="8:8" x14ac:dyDescent="0.25">
      <c r="H2346" s="14"/>
    </row>
    <row r="2347" spans="8:8" x14ac:dyDescent="0.25">
      <c r="H2347" s="14"/>
    </row>
    <row r="2348" spans="8:8" x14ac:dyDescent="0.25">
      <c r="H2348" s="14"/>
    </row>
    <row r="2349" spans="8:8" x14ac:dyDescent="0.25">
      <c r="H2349" s="14"/>
    </row>
    <row r="2350" spans="8:8" x14ac:dyDescent="0.25">
      <c r="H2350" s="14"/>
    </row>
    <row r="2351" spans="8:8" x14ac:dyDescent="0.25">
      <c r="H2351" s="14"/>
    </row>
    <row r="2352" spans="8:8" x14ac:dyDescent="0.25">
      <c r="H2352" s="14"/>
    </row>
    <row r="2353" spans="8:8" x14ac:dyDescent="0.25">
      <c r="H2353" s="14"/>
    </row>
    <row r="2354" spans="8:8" x14ac:dyDescent="0.25">
      <c r="H2354" s="14"/>
    </row>
    <row r="2355" spans="8:8" x14ac:dyDescent="0.25">
      <c r="H2355" s="14"/>
    </row>
    <row r="2356" spans="8:8" x14ac:dyDescent="0.25">
      <c r="H2356" s="14"/>
    </row>
    <row r="2357" spans="8:8" x14ac:dyDescent="0.25">
      <c r="H2357" s="14"/>
    </row>
    <row r="2358" spans="8:8" x14ac:dyDescent="0.25">
      <c r="H2358" s="14"/>
    </row>
    <row r="2359" spans="8:8" x14ac:dyDescent="0.25">
      <c r="H2359" s="14"/>
    </row>
    <row r="2360" spans="8:8" x14ac:dyDescent="0.25">
      <c r="H2360" s="14"/>
    </row>
    <row r="2361" spans="8:8" x14ac:dyDescent="0.25">
      <c r="H2361" s="14"/>
    </row>
    <row r="2362" spans="8:8" x14ac:dyDescent="0.25">
      <c r="H2362" s="14"/>
    </row>
    <row r="2363" spans="8:8" x14ac:dyDescent="0.25">
      <c r="H2363" s="14"/>
    </row>
    <row r="2364" spans="8:8" x14ac:dyDescent="0.25">
      <c r="H2364" s="14"/>
    </row>
    <row r="2365" spans="8:8" x14ac:dyDescent="0.25">
      <c r="H2365" s="14"/>
    </row>
    <row r="2366" spans="8:8" x14ac:dyDescent="0.25">
      <c r="H2366" s="14"/>
    </row>
    <row r="2367" spans="8:8" x14ac:dyDescent="0.25">
      <c r="H2367" s="14"/>
    </row>
    <row r="2368" spans="8:8" x14ac:dyDescent="0.25">
      <c r="H2368" s="14"/>
    </row>
    <row r="2369" spans="8:8" x14ac:dyDescent="0.25">
      <c r="H2369" s="14"/>
    </row>
    <row r="2370" spans="8:8" x14ac:dyDescent="0.25">
      <c r="H2370" s="14"/>
    </row>
    <row r="2371" spans="8:8" x14ac:dyDescent="0.25">
      <c r="H2371" s="14"/>
    </row>
    <row r="2372" spans="8:8" x14ac:dyDescent="0.25">
      <c r="H2372" s="14"/>
    </row>
    <row r="2373" spans="8:8" x14ac:dyDescent="0.25">
      <c r="H2373" s="14"/>
    </row>
    <row r="2374" spans="8:8" x14ac:dyDescent="0.25">
      <c r="H2374" s="14"/>
    </row>
    <row r="2375" spans="8:8" x14ac:dyDescent="0.25">
      <c r="H2375" s="14"/>
    </row>
    <row r="2376" spans="8:8" x14ac:dyDescent="0.25">
      <c r="H2376" s="14"/>
    </row>
    <row r="2377" spans="8:8" x14ac:dyDescent="0.25">
      <c r="H2377" s="14"/>
    </row>
    <row r="2378" spans="8:8" x14ac:dyDescent="0.25">
      <c r="H2378" s="14"/>
    </row>
    <row r="2379" spans="8:8" x14ac:dyDescent="0.25">
      <c r="H2379" s="14"/>
    </row>
    <row r="2380" spans="8:8" x14ac:dyDescent="0.25">
      <c r="H2380" s="14"/>
    </row>
    <row r="2381" spans="8:8" x14ac:dyDescent="0.25">
      <c r="H2381" s="14"/>
    </row>
    <row r="2382" spans="8:8" x14ac:dyDescent="0.25">
      <c r="H2382" s="14"/>
    </row>
    <row r="2383" spans="8:8" x14ac:dyDescent="0.25">
      <c r="H2383" s="14"/>
    </row>
    <row r="2384" spans="8:8" x14ac:dyDescent="0.25">
      <c r="H2384" s="14"/>
    </row>
    <row r="2385" spans="8:8" x14ac:dyDescent="0.25">
      <c r="H2385" s="14"/>
    </row>
    <row r="2386" spans="8:8" x14ac:dyDescent="0.25">
      <c r="H2386" s="14"/>
    </row>
    <row r="2387" spans="8:8" x14ac:dyDescent="0.25">
      <c r="H2387" s="14"/>
    </row>
    <row r="2388" spans="8:8" x14ac:dyDescent="0.25">
      <c r="H2388" s="14"/>
    </row>
    <row r="2389" spans="8:8" x14ac:dyDescent="0.25">
      <c r="H2389" s="14"/>
    </row>
    <row r="2390" spans="8:8" x14ac:dyDescent="0.25">
      <c r="H2390" s="14"/>
    </row>
    <row r="2391" spans="8:8" x14ac:dyDescent="0.25">
      <c r="H2391" s="14"/>
    </row>
    <row r="2392" spans="8:8" x14ac:dyDescent="0.25">
      <c r="H2392" s="14"/>
    </row>
    <row r="2393" spans="8:8" x14ac:dyDescent="0.25">
      <c r="H2393" s="14"/>
    </row>
    <row r="2394" spans="8:8" x14ac:dyDescent="0.25">
      <c r="H2394" s="14"/>
    </row>
    <row r="2395" spans="8:8" x14ac:dyDescent="0.25">
      <c r="H2395" s="14"/>
    </row>
    <row r="2396" spans="8:8" x14ac:dyDescent="0.25">
      <c r="H2396" s="14"/>
    </row>
    <row r="2397" spans="8:8" x14ac:dyDescent="0.25">
      <c r="H2397" s="14"/>
    </row>
    <row r="2398" spans="8:8" x14ac:dyDescent="0.25">
      <c r="H2398" s="14"/>
    </row>
    <row r="2399" spans="8:8" x14ac:dyDescent="0.25">
      <c r="H2399" s="14"/>
    </row>
    <row r="2400" spans="8:8" x14ac:dyDescent="0.25">
      <c r="H2400" s="14"/>
    </row>
    <row r="2401" spans="8:8" x14ac:dyDescent="0.25">
      <c r="H2401" s="14"/>
    </row>
    <row r="2402" spans="8:8" x14ac:dyDescent="0.25">
      <c r="H2402" s="14"/>
    </row>
    <row r="2403" spans="8:8" x14ac:dyDescent="0.25">
      <c r="H2403" s="14"/>
    </row>
    <row r="2404" spans="8:8" x14ac:dyDescent="0.25">
      <c r="H2404" s="14"/>
    </row>
    <row r="2405" spans="8:8" x14ac:dyDescent="0.25">
      <c r="H2405" s="14"/>
    </row>
    <row r="2406" spans="8:8" x14ac:dyDescent="0.25">
      <c r="H2406" s="14"/>
    </row>
    <row r="2407" spans="8:8" x14ac:dyDescent="0.25">
      <c r="H2407" s="14"/>
    </row>
    <row r="2408" spans="8:8" x14ac:dyDescent="0.25">
      <c r="H2408" s="14"/>
    </row>
    <row r="2409" spans="8:8" x14ac:dyDescent="0.25">
      <c r="H2409" s="14"/>
    </row>
    <row r="2410" spans="8:8" x14ac:dyDescent="0.25">
      <c r="H2410" s="14"/>
    </row>
    <row r="2411" spans="8:8" x14ac:dyDescent="0.25">
      <c r="H2411" s="14"/>
    </row>
    <row r="2412" spans="8:8" x14ac:dyDescent="0.25">
      <c r="H2412" s="14"/>
    </row>
    <row r="2413" spans="8:8" x14ac:dyDescent="0.25">
      <c r="H2413" s="14"/>
    </row>
    <row r="2414" spans="8:8" x14ac:dyDescent="0.25">
      <c r="H2414" s="14"/>
    </row>
    <row r="2415" spans="8:8" x14ac:dyDescent="0.25">
      <c r="H2415" s="14"/>
    </row>
    <row r="2416" spans="8:8" x14ac:dyDescent="0.25">
      <c r="H2416" s="14"/>
    </row>
    <row r="2417" spans="8:8" x14ac:dyDescent="0.25">
      <c r="H2417" s="14"/>
    </row>
    <row r="2418" spans="8:8" x14ac:dyDescent="0.25">
      <c r="H2418" s="14"/>
    </row>
    <row r="2419" spans="8:8" x14ac:dyDescent="0.25">
      <c r="H2419" s="14"/>
    </row>
    <row r="2420" spans="8:8" x14ac:dyDescent="0.25">
      <c r="H2420" s="14"/>
    </row>
    <row r="2421" spans="8:8" x14ac:dyDescent="0.25">
      <c r="H2421" s="14"/>
    </row>
    <row r="2422" spans="8:8" x14ac:dyDescent="0.25">
      <c r="H2422" s="14"/>
    </row>
    <row r="2423" spans="8:8" x14ac:dyDescent="0.25">
      <c r="H2423" s="14"/>
    </row>
    <row r="2424" spans="8:8" x14ac:dyDescent="0.25">
      <c r="H2424" s="14"/>
    </row>
    <row r="2425" spans="8:8" x14ac:dyDescent="0.25">
      <c r="H2425" s="14"/>
    </row>
    <row r="2426" spans="8:8" x14ac:dyDescent="0.25">
      <c r="H2426" s="14"/>
    </row>
    <row r="2427" spans="8:8" x14ac:dyDescent="0.25">
      <c r="H2427" s="14"/>
    </row>
    <row r="2428" spans="8:8" x14ac:dyDescent="0.25">
      <c r="H2428" s="14"/>
    </row>
    <row r="2429" spans="8:8" x14ac:dyDescent="0.25">
      <c r="H2429" s="14"/>
    </row>
    <row r="2430" spans="8:8" x14ac:dyDescent="0.25">
      <c r="H2430" s="14"/>
    </row>
    <row r="2431" spans="8:8" x14ac:dyDescent="0.25">
      <c r="H2431" s="14"/>
    </row>
    <row r="2432" spans="8:8" x14ac:dyDescent="0.25">
      <c r="H2432" s="14"/>
    </row>
    <row r="2433" spans="8:8" x14ac:dyDescent="0.25">
      <c r="H2433" s="14"/>
    </row>
    <row r="2434" spans="8:8" x14ac:dyDescent="0.25">
      <c r="H2434" s="14"/>
    </row>
    <row r="2435" spans="8:8" x14ac:dyDescent="0.25">
      <c r="H2435" s="14"/>
    </row>
    <row r="2436" spans="8:8" x14ac:dyDescent="0.25">
      <c r="H2436" s="14"/>
    </row>
    <row r="2437" spans="8:8" x14ac:dyDescent="0.25">
      <c r="H2437" s="14"/>
    </row>
    <row r="2438" spans="8:8" x14ac:dyDescent="0.25">
      <c r="H2438" s="14"/>
    </row>
    <row r="2439" spans="8:8" x14ac:dyDescent="0.25">
      <c r="H2439" s="14"/>
    </row>
    <row r="2440" spans="8:8" x14ac:dyDescent="0.25">
      <c r="H2440" s="14"/>
    </row>
    <row r="2441" spans="8:8" x14ac:dyDescent="0.25">
      <c r="H2441" s="14"/>
    </row>
    <row r="2442" spans="8:8" x14ac:dyDescent="0.25">
      <c r="H2442" s="14"/>
    </row>
    <row r="2443" spans="8:8" x14ac:dyDescent="0.25">
      <c r="H2443" s="14"/>
    </row>
    <row r="2444" spans="8:8" x14ac:dyDescent="0.25">
      <c r="H2444" s="14"/>
    </row>
    <row r="2445" spans="8:8" x14ac:dyDescent="0.25">
      <c r="H2445" s="14"/>
    </row>
    <row r="2446" spans="8:8" x14ac:dyDescent="0.25">
      <c r="H2446" s="14"/>
    </row>
    <row r="2447" spans="8:8" x14ac:dyDescent="0.25">
      <c r="H2447" s="14"/>
    </row>
    <row r="2448" spans="8:8" x14ac:dyDescent="0.25">
      <c r="H2448" s="14"/>
    </row>
    <row r="2449" spans="8:8" x14ac:dyDescent="0.25">
      <c r="H2449" s="14"/>
    </row>
    <row r="2450" spans="8:8" x14ac:dyDescent="0.25">
      <c r="H2450" s="14"/>
    </row>
    <row r="2451" spans="8:8" x14ac:dyDescent="0.25">
      <c r="H2451" s="14"/>
    </row>
    <row r="2452" spans="8:8" x14ac:dyDescent="0.25">
      <c r="H2452" s="14"/>
    </row>
    <row r="2453" spans="8:8" x14ac:dyDescent="0.25">
      <c r="H2453" s="14"/>
    </row>
    <row r="2454" spans="8:8" x14ac:dyDescent="0.25">
      <c r="H2454" s="14"/>
    </row>
    <row r="2455" spans="8:8" x14ac:dyDescent="0.25">
      <c r="H2455" s="14"/>
    </row>
    <row r="2456" spans="8:8" x14ac:dyDescent="0.25">
      <c r="H2456" s="14"/>
    </row>
    <row r="2457" spans="8:8" x14ac:dyDescent="0.25">
      <c r="H2457" s="14"/>
    </row>
    <row r="2458" spans="8:8" x14ac:dyDescent="0.25">
      <c r="H2458" s="14"/>
    </row>
    <row r="2459" spans="8:8" x14ac:dyDescent="0.25">
      <c r="H2459" s="14"/>
    </row>
    <row r="2460" spans="8:8" x14ac:dyDescent="0.25">
      <c r="H2460" s="14"/>
    </row>
    <row r="2461" spans="8:8" x14ac:dyDescent="0.25">
      <c r="H2461" s="14"/>
    </row>
    <row r="2462" spans="8:8" x14ac:dyDescent="0.25">
      <c r="H2462" s="14"/>
    </row>
    <row r="2463" spans="8:8" x14ac:dyDescent="0.25">
      <c r="H2463" s="14"/>
    </row>
    <row r="2464" spans="8:8" x14ac:dyDescent="0.25">
      <c r="H2464" s="14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GetRecode">
                <anchor moveWithCells="1" sizeWithCells="1">
                  <from>
                    <xdr:col>6</xdr:col>
                    <xdr:colOff>476250</xdr:colOff>
                    <xdr:row>5</xdr:row>
                    <xdr:rowOff>28575</xdr:rowOff>
                  </from>
                  <to>
                    <xdr:col>9</xdr:col>
                    <xdr:colOff>28575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FF00"/>
  </sheetPr>
  <dimension ref="A1:CV81"/>
  <sheetViews>
    <sheetView zoomScale="85" zoomScaleNormal="85" workbookViewId="0">
      <pane ySplit="9" topLeftCell="A15" activePane="bottomLeft" state="frozen"/>
      <selection pane="bottomLeft" activeCell="A12" sqref="A12:P47"/>
    </sheetView>
  </sheetViews>
  <sheetFormatPr defaultRowHeight="15" x14ac:dyDescent="0.25"/>
  <cols>
    <col min="1" max="2" width="12" customWidth="1"/>
    <col min="4" max="4" width="25.5703125" customWidth="1"/>
  </cols>
  <sheetData>
    <row r="1" spans="1:100" ht="16.5" customHeight="1" thickBot="1" x14ac:dyDescent="0.3">
      <c r="A1" s="2" t="s">
        <v>0</v>
      </c>
      <c r="B1" s="1"/>
    </row>
    <row r="2" spans="1:100" ht="16.5" customHeight="1" thickTop="1" x14ac:dyDescent="0.25"/>
    <row r="3" spans="1:100" ht="16.5" customHeight="1" x14ac:dyDescent="0.25"/>
    <row r="4" spans="1:100" s="18" customFormat="1" x14ac:dyDescent="0.25">
      <c r="A4" s="40" t="s">
        <v>2106</v>
      </c>
      <c r="B4" s="40"/>
      <c r="C4" s="39">
        <v>1</v>
      </c>
      <c r="D4" s="39">
        <v>2</v>
      </c>
      <c r="E4" s="39">
        <v>3</v>
      </c>
      <c r="F4" s="39">
        <v>4</v>
      </c>
      <c r="G4" s="39"/>
      <c r="H4" s="39"/>
      <c r="I4" s="39"/>
      <c r="J4" s="39"/>
      <c r="K4" s="39"/>
      <c r="L4" s="39"/>
      <c r="M4" s="39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3"/>
      <c r="AR4" s="33"/>
      <c r="AS4" s="33"/>
      <c r="AT4" s="33"/>
      <c r="AU4" s="33"/>
      <c r="AV4" s="33"/>
      <c r="AW4" s="33"/>
    </row>
    <row r="5" spans="1:100" s="18" customFormat="1" x14ac:dyDescent="0.25">
      <c r="A5" s="40" t="s">
        <v>2107</v>
      </c>
      <c r="B5" s="40"/>
      <c r="C5" s="34" t="s">
        <v>2218</v>
      </c>
      <c r="D5" s="39" t="s">
        <v>2403</v>
      </c>
      <c r="E5" s="39" t="s">
        <v>2404</v>
      </c>
      <c r="F5" s="39" t="s">
        <v>2405</v>
      </c>
      <c r="G5" s="39" t="s">
        <v>994</v>
      </c>
      <c r="H5" s="18" t="s">
        <v>2408</v>
      </c>
      <c r="K5" s="38"/>
      <c r="L5" s="38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37"/>
      <c r="AF5" s="37"/>
      <c r="AG5" s="37"/>
      <c r="AH5" s="37"/>
      <c r="AI5"/>
      <c r="AJ5"/>
      <c r="AK5"/>
      <c r="AL5"/>
      <c r="AM5"/>
      <c r="AN5"/>
      <c r="AO5"/>
      <c r="AP5"/>
      <c r="AQ5"/>
      <c r="AR5"/>
      <c r="AS5"/>
      <c r="AT5"/>
      <c r="AU5" s="33"/>
      <c r="AV5" s="33"/>
      <c r="AW5" s="33"/>
      <c r="AX5" s="33"/>
    </row>
    <row r="6" spans="1:100" s="18" customFormat="1" x14ac:dyDescent="0.25">
      <c r="A6" s="34" t="s">
        <v>2109</v>
      </c>
      <c r="B6" s="34" t="s">
        <v>2121</v>
      </c>
      <c r="C6" s="35">
        <v>1</v>
      </c>
      <c r="D6" s="41"/>
      <c r="E6" s="42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  <c r="AN6" s="33"/>
      <c r="AO6" s="33"/>
      <c r="AP6" s="33"/>
      <c r="AQ6" s="33"/>
      <c r="AR6" s="33"/>
      <c r="AS6" s="33"/>
      <c r="AT6" s="33"/>
      <c r="AU6" s="33"/>
      <c r="AV6" s="33"/>
      <c r="AW6" s="33"/>
    </row>
    <row r="7" spans="1:100" s="18" customFormat="1" x14ac:dyDescent="0.25">
      <c r="A7" s="34"/>
      <c r="B7" s="34" t="s">
        <v>2120</v>
      </c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H7" s="33"/>
      <c r="AI7" s="33"/>
      <c r="AJ7" s="33"/>
      <c r="AK7" s="33"/>
      <c r="AL7" s="33"/>
      <c r="AM7" s="33"/>
      <c r="AN7" s="33"/>
      <c r="AO7" s="33"/>
      <c r="AP7" s="33"/>
      <c r="AQ7" s="33"/>
      <c r="AR7" s="33"/>
      <c r="AS7" s="33"/>
      <c r="AT7" s="33"/>
      <c r="AU7" s="33"/>
      <c r="AV7" s="33"/>
      <c r="AW7" s="33"/>
    </row>
    <row r="8" spans="1:100" s="18" customFormat="1" x14ac:dyDescent="0.25">
      <c r="A8" s="40" t="s">
        <v>2108</v>
      </c>
      <c r="B8" s="40"/>
      <c r="C8" s="39" t="s">
        <v>996</v>
      </c>
      <c r="D8" s="39" t="s">
        <v>2406</v>
      </c>
      <c r="E8" s="38" t="s">
        <v>2407</v>
      </c>
      <c r="F8" s="18" t="s">
        <v>7</v>
      </c>
      <c r="G8" s="18" t="s">
        <v>8</v>
      </c>
      <c r="H8" s="18" t="s">
        <v>2409</v>
      </c>
      <c r="I8" s="18" t="s">
        <v>2410</v>
      </c>
      <c r="J8" s="18" t="s">
        <v>9</v>
      </c>
      <c r="K8" s="18" t="s">
        <v>11</v>
      </c>
      <c r="L8" s="18" t="s">
        <v>12</v>
      </c>
      <c r="M8" s="18" t="s">
        <v>2411</v>
      </c>
      <c r="N8" s="18" t="s">
        <v>2400</v>
      </c>
      <c r="O8" s="18" t="s">
        <v>2401</v>
      </c>
      <c r="P8" s="18" t="s">
        <v>2412</v>
      </c>
      <c r="Q8" s="18" t="s">
        <v>2413</v>
      </c>
      <c r="R8" s="18" t="s">
        <v>2414</v>
      </c>
      <c r="S8" s="18" t="s">
        <v>2415</v>
      </c>
      <c r="T8" s="18" t="s">
        <v>2416</v>
      </c>
      <c r="U8" s="18" t="s">
        <v>2417</v>
      </c>
      <c r="V8" s="18" t="s">
        <v>2418</v>
      </c>
      <c r="W8" s="18" t="s">
        <v>2419</v>
      </c>
      <c r="X8" s="18" t="s">
        <v>2420</v>
      </c>
      <c r="Y8" s="18" t="s">
        <v>2421</v>
      </c>
      <c r="Z8" s="18" t="s">
        <v>2422</v>
      </c>
      <c r="AA8" s="18" t="s">
        <v>2423</v>
      </c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</row>
    <row r="11" spans="1:100" x14ac:dyDescent="0.25">
      <c r="A11" s="5" t="s">
        <v>2113</v>
      </c>
      <c r="K11" s="36"/>
    </row>
    <row r="12" spans="1:100" x14ac:dyDescent="0.25">
      <c r="A12" t="s">
        <v>2402</v>
      </c>
      <c r="K12" s="36"/>
      <c r="M12" s="37"/>
    </row>
    <row r="13" spans="1:100" x14ac:dyDescent="0.25">
      <c r="A13" t="s">
        <v>2114</v>
      </c>
      <c r="B13" t="s">
        <v>996</v>
      </c>
      <c r="C13" t="s">
        <v>2115</v>
      </c>
      <c r="D13" t="s">
        <v>2424</v>
      </c>
      <c r="E13" t="s">
        <v>2425</v>
      </c>
      <c r="F13" t="s">
        <v>2426</v>
      </c>
      <c r="G13" t="s">
        <v>2427</v>
      </c>
      <c r="K13" s="36"/>
      <c r="M13" s="37"/>
    </row>
    <row r="14" spans="1:100" x14ac:dyDescent="0.25">
      <c r="A14" t="s">
        <v>2114</v>
      </c>
      <c r="B14" t="s">
        <v>2406</v>
      </c>
      <c r="C14" t="s">
        <v>2115</v>
      </c>
      <c r="D14" t="s">
        <v>2428</v>
      </c>
      <c r="E14" t="s">
        <v>2429</v>
      </c>
      <c r="F14" t="s">
        <v>2430</v>
      </c>
      <c r="G14" t="s">
        <v>2431</v>
      </c>
      <c r="K14" s="36"/>
      <c r="M14" s="37"/>
      <c r="O14" s="39"/>
    </row>
    <row r="15" spans="1:100" x14ac:dyDescent="0.25">
      <c r="A15" t="s">
        <v>2114</v>
      </c>
      <c r="B15" t="s">
        <v>2407</v>
      </c>
      <c r="C15" t="s">
        <v>2115</v>
      </c>
      <c r="D15" t="s">
        <v>2432</v>
      </c>
      <c r="E15" t="s">
        <v>2433</v>
      </c>
      <c r="F15" t="s">
        <v>2434</v>
      </c>
      <c r="G15" t="s">
        <v>2435</v>
      </c>
      <c r="K15" s="36"/>
      <c r="M15" s="37"/>
      <c r="O15" s="39"/>
    </row>
    <row r="16" spans="1:100" x14ac:dyDescent="0.25">
      <c r="A16" t="s">
        <v>2114</v>
      </c>
      <c r="B16" t="s">
        <v>7</v>
      </c>
      <c r="C16" t="s">
        <v>2115</v>
      </c>
      <c r="D16" t="s">
        <v>2436</v>
      </c>
      <c r="E16" t="s">
        <v>2437</v>
      </c>
      <c r="F16" t="s">
        <v>2438</v>
      </c>
      <c r="G16" t="s">
        <v>2439</v>
      </c>
      <c r="K16" s="36"/>
      <c r="M16" s="37"/>
      <c r="O16" s="39"/>
    </row>
    <row r="17" spans="1:16" x14ac:dyDescent="0.25">
      <c r="A17" t="s">
        <v>2114</v>
      </c>
      <c r="B17" t="s">
        <v>8</v>
      </c>
      <c r="C17" t="s">
        <v>2115</v>
      </c>
      <c r="D17" t="s">
        <v>2440</v>
      </c>
      <c r="E17" t="s">
        <v>2441</v>
      </c>
      <c r="F17" t="s">
        <v>2442</v>
      </c>
      <c r="G17" t="s">
        <v>2443</v>
      </c>
      <c r="K17" s="36"/>
      <c r="M17" s="37"/>
      <c r="O17" s="39"/>
    </row>
    <row r="18" spans="1:16" x14ac:dyDescent="0.25">
      <c r="A18" t="s">
        <v>2114</v>
      </c>
      <c r="B18" t="s">
        <v>2409</v>
      </c>
      <c r="C18" t="s">
        <v>2115</v>
      </c>
      <c r="D18" t="s">
        <v>2444</v>
      </c>
      <c r="E18" t="s">
        <v>2445</v>
      </c>
      <c r="F18" t="s">
        <v>2446</v>
      </c>
      <c r="G18" t="s">
        <v>2447</v>
      </c>
      <c r="K18" s="36"/>
      <c r="O18" s="39"/>
    </row>
    <row r="19" spans="1:16" x14ac:dyDescent="0.25">
      <c r="A19" t="s">
        <v>2114</v>
      </c>
      <c r="B19" t="s">
        <v>2410</v>
      </c>
      <c r="C19" t="s">
        <v>2115</v>
      </c>
      <c r="D19" t="s">
        <v>2448</v>
      </c>
      <c r="E19" t="s">
        <v>2449</v>
      </c>
      <c r="F19" t="s">
        <v>2450</v>
      </c>
      <c r="G19" t="s">
        <v>2451</v>
      </c>
      <c r="O19" s="39"/>
    </row>
    <row r="20" spans="1:16" x14ac:dyDescent="0.25">
      <c r="A20" t="s">
        <v>2114</v>
      </c>
      <c r="B20" t="s">
        <v>9</v>
      </c>
      <c r="C20" t="s">
        <v>2115</v>
      </c>
      <c r="D20" t="s">
        <v>2452</v>
      </c>
      <c r="E20" t="s">
        <v>2453</v>
      </c>
      <c r="F20" t="s">
        <v>2454</v>
      </c>
      <c r="G20" t="s">
        <v>2455</v>
      </c>
      <c r="P20" s="37"/>
    </row>
    <row r="21" spans="1:16" x14ac:dyDescent="0.25">
      <c r="A21" t="s">
        <v>2114</v>
      </c>
      <c r="B21" t="s">
        <v>11</v>
      </c>
      <c r="C21" t="s">
        <v>2115</v>
      </c>
      <c r="D21" t="s">
        <v>2456</v>
      </c>
      <c r="E21" t="s">
        <v>2457</v>
      </c>
      <c r="F21" t="s">
        <v>2458</v>
      </c>
      <c r="G21" t="s">
        <v>2459</v>
      </c>
      <c r="P21" s="37"/>
    </row>
    <row r="22" spans="1:16" x14ac:dyDescent="0.25">
      <c r="A22" t="s">
        <v>2114</v>
      </c>
      <c r="B22" t="s">
        <v>12</v>
      </c>
      <c r="C22" t="s">
        <v>2115</v>
      </c>
      <c r="D22" t="s">
        <v>2460</v>
      </c>
      <c r="E22" t="s">
        <v>2461</v>
      </c>
      <c r="F22" t="s">
        <v>2462</v>
      </c>
      <c r="G22" t="s">
        <v>2463</v>
      </c>
      <c r="P22" s="37"/>
    </row>
    <row r="23" spans="1:16" x14ac:dyDescent="0.25">
      <c r="A23" t="s">
        <v>2114</v>
      </c>
      <c r="B23" t="s">
        <v>2411</v>
      </c>
      <c r="C23" t="s">
        <v>2115</v>
      </c>
      <c r="D23" t="s">
        <v>2464</v>
      </c>
      <c r="E23" t="s">
        <v>2465</v>
      </c>
      <c r="F23" t="s">
        <v>2466</v>
      </c>
      <c r="G23" t="s">
        <v>2467</v>
      </c>
      <c r="P23" s="37"/>
    </row>
    <row r="24" spans="1:16" x14ac:dyDescent="0.25">
      <c r="A24" t="s">
        <v>2114</v>
      </c>
      <c r="B24" t="s">
        <v>2400</v>
      </c>
      <c r="C24" t="s">
        <v>2115</v>
      </c>
      <c r="D24" t="s">
        <v>2468</v>
      </c>
      <c r="E24" t="s">
        <v>2469</v>
      </c>
      <c r="F24" t="s">
        <v>2470</v>
      </c>
      <c r="G24" t="s">
        <v>2471</v>
      </c>
      <c r="P24" s="37"/>
    </row>
    <row r="25" spans="1:16" x14ac:dyDescent="0.25">
      <c r="A25" t="s">
        <v>2114</v>
      </c>
      <c r="B25" t="s">
        <v>2401</v>
      </c>
      <c r="C25" t="s">
        <v>2115</v>
      </c>
      <c r="D25" t="s">
        <v>2472</v>
      </c>
      <c r="E25" t="s">
        <v>2473</v>
      </c>
      <c r="F25" t="s">
        <v>2474</v>
      </c>
      <c r="G25" t="s">
        <v>2475</v>
      </c>
      <c r="P25" s="37"/>
    </row>
    <row r="26" spans="1:16" x14ac:dyDescent="0.25">
      <c r="A26" t="s">
        <v>2114</v>
      </c>
      <c r="B26" t="s">
        <v>2412</v>
      </c>
      <c r="C26" t="s">
        <v>2115</v>
      </c>
      <c r="D26" t="s">
        <v>2476</v>
      </c>
      <c r="E26" t="s">
        <v>2477</v>
      </c>
      <c r="F26" t="s">
        <v>2478</v>
      </c>
      <c r="G26" t="s">
        <v>2479</v>
      </c>
      <c r="P26" s="37"/>
    </row>
    <row r="27" spans="1:16" x14ac:dyDescent="0.25">
      <c r="A27" t="s">
        <v>2114</v>
      </c>
      <c r="B27" t="s">
        <v>2413</v>
      </c>
      <c r="C27" t="s">
        <v>2115</v>
      </c>
      <c r="D27" t="s">
        <v>2480</v>
      </c>
      <c r="E27" t="s">
        <v>2481</v>
      </c>
      <c r="F27" t="s">
        <v>2482</v>
      </c>
      <c r="G27" t="s">
        <v>2483</v>
      </c>
      <c r="P27" s="37"/>
    </row>
    <row r="28" spans="1:16" x14ac:dyDescent="0.25">
      <c r="A28" t="s">
        <v>2114</v>
      </c>
      <c r="B28" t="s">
        <v>2414</v>
      </c>
      <c r="C28" t="s">
        <v>2115</v>
      </c>
      <c r="D28" t="s">
        <v>2484</v>
      </c>
      <c r="E28" t="s">
        <v>2485</v>
      </c>
      <c r="F28" t="s">
        <v>2486</v>
      </c>
      <c r="G28" t="s">
        <v>2487</v>
      </c>
    </row>
    <row r="29" spans="1:16" x14ac:dyDescent="0.25">
      <c r="A29" t="s">
        <v>2114</v>
      </c>
      <c r="B29" t="s">
        <v>2415</v>
      </c>
      <c r="C29" t="s">
        <v>2115</v>
      </c>
      <c r="D29" t="s">
        <v>2488</v>
      </c>
      <c r="E29" t="s">
        <v>2489</v>
      </c>
      <c r="F29" t="s">
        <v>2490</v>
      </c>
      <c r="G29" t="s">
        <v>2491</v>
      </c>
    </row>
    <row r="30" spans="1:16" x14ac:dyDescent="0.25">
      <c r="A30" t="s">
        <v>2114</v>
      </c>
      <c r="B30" t="s">
        <v>2416</v>
      </c>
      <c r="C30" t="s">
        <v>2115</v>
      </c>
      <c r="D30" t="s">
        <v>2492</v>
      </c>
      <c r="E30" t="s">
        <v>2493</v>
      </c>
      <c r="F30" t="s">
        <v>2494</v>
      </c>
      <c r="G30" t="s">
        <v>2495</v>
      </c>
    </row>
    <row r="31" spans="1:16" x14ac:dyDescent="0.25">
      <c r="A31" t="s">
        <v>2114</v>
      </c>
      <c r="B31" t="s">
        <v>2417</v>
      </c>
      <c r="C31" t="s">
        <v>2115</v>
      </c>
      <c r="D31" t="s">
        <v>2496</v>
      </c>
      <c r="E31" t="s">
        <v>2497</v>
      </c>
      <c r="F31" t="s">
        <v>2498</v>
      </c>
      <c r="G31" t="s">
        <v>2499</v>
      </c>
    </row>
    <row r="32" spans="1:16" x14ac:dyDescent="0.25">
      <c r="A32" t="s">
        <v>2114</v>
      </c>
      <c r="B32" t="s">
        <v>2418</v>
      </c>
      <c r="C32" t="s">
        <v>2115</v>
      </c>
      <c r="D32" t="s">
        <v>2500</v>
      </c>
      <c r="E32" t="s">
        <v>2501</v>
      </c>
      <c r="F32" t="s">
        <v>2502</v>
      </c>
      <c r="G32" t="s">
        <v>2503</v>
      </c>
    </row>
    <row r="33" spans="1:9" x14ac:dyDescent="0.25">
      <c r="A33" t="s">
        <v>2114</v>
      </c>
      <c r="B33" t="s">
        <v>2419</v>
      </c>
      <c r="C33" t="s">
        <v>2115</v>
      </c>
      <c r="D33" t="s">
        <v>2504</v>
      </c>
      <c r="E33" t="s">
        <v>2505</v>
      </c>
      <c r="F33" t="s">
        <v>2506</v>
      </c>
      <c r="G33" t="s">
        <v>2507</v>
      </c>
      <c r="I33" s="38"/>
    </row>
    <row r="34" spans="1:9" ht="15.75" customHeight="1" x14ac:dyDescent="0.25">
      <c r="A34" t="s">
        <v>2114</v>
      </c>
      <c r="B34" t="s">
        <v>2420</v>
      </c>
      <c r="C34" t="s">
        <v>2115</v>
      </c>
      <c r="D34" t="s">
        <v>2508</v>
      </c>
      <c r="E34" t="s">
        <v>2509</v>
      </c>
      <c r="F34" t="s">
        <v>2510</v>
      </c>
      <c r="G34" t="s">
        <v>2511</v>
      </c>
      <c r="I34" s="38"/>
    </row>
    <row r="35" spans="1:9" ht="15.75" customHeight="1" x14ac:dyDescent="0.25">
      <c r="A35" t="s">
        <v>2114</v>
      </c>
      <c r="B35" t="s">
        <v>2421</v>
      </c>
      <c r="C35" s="37" t="s">
        <v>2115</v>
      </c>
      <c r="D35" t="s">
        <v>2512</v>
      </c>
      <c r="E35" t="s">
        <v>2513</v>
      </c>
      <c r="F35" t="s">
        <v>2514</v>
      </c>
      <c r="G35" t="s">
        <v>2515</v>
      </c>
      <c r="I35" s="38"/>
    </row>
    <row r="36" spans="1:9" ht="15.75" customHeight="1" x14ac:dyDescent="0.25">
      <c r="A36" t="s">
        <v>2114</v>
      </c>
      <c r="B36" t="s">
        <v>2422</v>
      </c>
      <c r="C36" s="37" t="s">
        <v>2115</v>
      </c>
      <c r="D36" t="s">
        <v>2516</v>
      </c>
      <c r="E36" t="s">
        <v>2517</v>
      </c>
      <c r="F36" t="s">
        <v>2518</v>
      </c>
      <c r="G36" t="s">
        <v>2519</v>
      </c>
      <c r="I36" s="38"/>
    </row>
    <row r="37" spans="1:9" ht="15.75" customHeight="1" x14ac:dyDescent="0.25">
      <c r="A37" t="s">
        <v>2114</v>
      </c>
      <c r="B37" t="s">
        <v>2423</v>
      </c>
      <c r="C37" s="37" t="s">
        <v>2115</v>
      </c>
      <c r="D37" t="s">
        <v>2520</v>
      </c>
      <c r="E37" t="s">
        <v>2521</v>
      </c>
      <c r="F37" t="s">
        <v>2522</v>
      </c>
      <c r="G37" t="s">
        <v>2523</v>
      </c>
      <c r="I37" s="38"/>
    </row>
    <row r="38" spans="1:9" ht="15.75" customHeight="1" x14ac:dyDescent="0.25">
      <c r="A38" t="s">
        <v>2525</v>
      </c>
      <c r="C38" s="37"/>
      <c r="I38" s="38"/>
    </row>
    <row r="39" spans="1:9" ht="15.75" customHeight="1" x14ac:dyDescent="0.25">
      <c r="A39" t="s">
        <v>2524</v>
      </c>
      <c r="C39" s="37"/>
      <c r="I39" s="38"/>
    </row>
    <row r="40" spans="1:9" x14ac:dyDescent="0.25">
      <c r="A40" t="s">
        <v>2116</v>
      </c>
      <c r="C40" s="37"/>
      <c r="I40" s="38"/>
    </row>
    <row r="41" spans="1:9" x14ac:dyDescent="0.25">
      <c r="A41" t="s">
        <v>2526</v>
      </c>
      <c r="C41" s="37"/>
      <c r="I41" s="38"/>
    </row>
    <row r="42" spans="1:9" x14ac:dyDescent="0.25">
      <c r="A42">
        <v>1</v>
      </c>
      <c r="B42" t="s">
        <v>2117</v>
      </c>
      <c r="C42" t="s">
        <v>2527</v>
      </c>
      <c r="D42" t="s">
        <v>2117</v>
      </c>
    </row>
    <row r="43" spans="1:9" x14ac:dyDescent="0.25">
      <c r="A43">
        <v>2</v>
      </c>
      <c r="B43" t="s">
        <v>2117</v>
      </c>
      <c r="C43" t="s">
        <v>2528</v>
      </c>
      <c r="D43" t="s">
        <v>2117</v>
      </c>
    </row>
    <row r="44" spans="1:9" x14ac:dyDescent="0.25">
      <c r="A44">
        <v>3</v>
      </c>
      <c r="B44" t="s">
        <v>2117</v>
      </c>
      <c r="C44" t="s">
        <v>2529</v>
      </c>
      <c r="D44" t="s">
        <v>2117</v>
      </c>
    </row>
    <row r="45" spans="1:9" x14ac:dyDescent="0.25">
      <c r="A45">
        <v>4</v>
      </c>
      <c r="B45" t="s">
        <v>2117</v>
      </c>
      <c r="C45" t="s">
        <v>2530</v>
      </c>
      <c r="D45" t="s">
        <v>2118</v>
      </c>
    </row>
    <row r="71" spans="10:10" x14ac:dyDescent="0.25">
      <c r="J71" s="39"/>
    </row>
    <row r="72" spans="10:10" x14ac:dyDescent="0.25">
      <c r="J72" s="39"/>
    </row>
    <row r="73" spans="10:10" x14ac:dyDescent="0.25">
      <c r="J73" s="39"/>
    </row>
    <row r="74" spans="10:10" x14ac:dyDescent="0.25">
      <c r="J74" s="39"/>
    </row>
    <row r="75" spans="10:10" x14ac:dyDescent="0.25">
      <c r="J75" s="39"/>
    </row>
    <row r="76" spans="10:10" x14ac:dyDescent="0.25">
      <c r="J76" s="39"/>
    </row>
    <row r="77" spans="10:10" x14ac:dyDescent="0.25">
      <c r="J77" s="39"/>
    </row>
    <row r="78" spans="10:10" x14ac:dyDescent="0.25">
      <c r="J78" s="39"/>
    </row>
    <row r="79" spans="10:10" x14ac:dyDescent="0.25">
      <c r="J79" s="39"/>
    </row>
    <row r="80" spans="10:10" x14ac:dyDescent="0.25">
      <c r="J80" s="39"/>
    </row>
    <row r="81" spans="10:10" x14ac:dyDescent="0.25">
      <c r="J81" s="39"/>
    </row>
  </sheetData>
  <mergeCells count="4">
    <mergeCell ref="A4:B4"/>
    <mergeCell ref="A5:B5"/>
    <mergeCell ref="A8:B8"/>
    <mergeCell ref="D6:E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Restruction">
                <anchor moveWithCells="1" sizeWithCells="1">
                  <from>
                    <xdr:col>3</xdr:col>
                    <xdr:colOff>57150</xdr:colOff>
                    <xdr:row>0</xdr:row>
                    <xdr:rowOff>209550</xdr:rowOff>
                  </from>
                  <to>
                    <xdr:col>5</xdr:col>
                    <xdr:colOff>85725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9"/>
  </sheetPr>
  <dimension ref="A1:I2461"/>
  <sheetViews>
    <sheetView zoomScale="85" zoomScaleNormal="85" workbookViewId="0">
      <pane ySplit="7" topLeftCell="A14" activePane="bottomLeft" state="frozen"/>
      <selection pane="bottomLeft" activeCell="D27" sqref="D27"/>
    </sheetView>
  </sheetViews>
  <sheetFormatPr defaultRowHeight="15" x14ac:dyDescent="0.25"/>
  <cols>
    <col min="1" max="1" width="30.140625" customWidth="1"/>
    <col min="2" max="16" width="7.140625" customWidth="1"/>
  </cols>
  <sheetData>
    <row r="1" spans="1:9" ht="16.5" thickBot="1" x14ac:dyDescent="0.3">
      <c r="A1" s="2" t="s">
        <v>0</v>
      </c>
      <c r="B1" s="1"/>
    </row>
    <row r="2" spans="1:9" ht="15.75" thickTop="1" x14ac:dyDescent="0.25"/>
    <row r="3" spans="1:9" x14ac:dyDescent="0.25">
      <c r="A3" s="6" t="s">
        <v>2203</v>
      </c>
      <c r="B3" s="29"/>
      <c r="C3" s="3" t="str">
        <f>IF(AND(B3&lt;&gt;"",B4&lt;&gt;""),"Chỉ được chọn 1","")</f>
        <v/>
      </c>
      <c r="D3" s="3"/>
      <c r="E3" s="8"/>
      <c r="F3" s="8"/>
    </row>
    <row r="4" spans="1:9" x14ac:dyDescent="0.25">
      <c r="A4" s="7" t="s">
        <v>2201</v>
      </c>
      <c r="B4" s="29">
        <v>2</v>
      </c>
      <c r="C4" s="3"/>
      <c r="D4" s="3"/>
      <c r="E4" s="8"/>
      <c r="F4" s="8"/>
    </row>
    <row r="5" spans="1:9" x14ac:dyDescent="0.25">
      <c r="A5" s="30"/>
      <c r="B5" s="3"/>
      <c r="C5" s="3"/>
      <c r="D5" s="3"/>
      <c r="E5" s="8"/>
      <c r="F5" s="8"/>
    </row>
    <row r="6" spans="1:9" x14ac:dyDescent="0.25">
      <c r="A6" s="3"/>
      <c r="B6" s="4"/>
      <c r="C6" s="4"/>
      <c r="D6" s="4"/>
      <c r="E6" s="4"/>
    </row>
    <row r="7" spans="1:9" x14ac:dyDescent="0.25">
      <c r="A7" s="13" t="s">
        <v>2202</v>
      </c>
      <c r="B7" s="4"/>
      <c r="C7" s="4"/>
      <c r="D7" s="4"/>
      <c r="E7" s="4"/>
      <c r="H7" s="13" t="s">
        <v>2204</v>
      </c>
      <c r="I7" s="12"/>
    </row>
    <row r="8" spans="1:9" x14ac:dyDescent="0.25">
      <c r="A8" t="s">
        <v>1007</v>
      </c>
      <c r="H8" s="14" t="s">
        <v>2205</v>
      </c>
    </row>
    <row r="9" spans="1:9" x14ac:dyDescent="0.25">
      <c r="A9" t="s">
        <v>2022</v>
      </c>
      <c r="H9" s="14" t="s">
        <v>2216</v>
      </c>
    </row>
    <row r="10" spans="1:9" x14ac:dyDescent="0.25">
      <c r="A10" t="s">
        <v>1008</v>
      </c>
      <c r="H10" s="14" t="s">
        <v>2206</v>
      </c>
    </row>
    <row r="11" spans="1:9" x14ac:dyDescent="0.25">
      <c r="A11" t="s">
        <v>1009</v>
      </c>
      <c r="H11" s="14" t="s">
        <v>2217</v>
      </c>
    </row>
    <row r="12" spans="1:9" x14ac:dyDescent="0.25">
      <c r="A12" t="s">
        <v>1057</v>
      </c>
      <c r="H12" s="14" t="s">
        <v>2207</v>
      </c>
    </row>
    <row r="13" spans="1:9" x14ac:dyDescent="0.25">
      <c r="A13" t="s">
        <v>1058</v>
      </c>
      <c r="H13" s="14" t="s">
        <v>2208</v>
      </c>
    </row>
    <row r="14" spans="1:9" x14ac:dyDescent="0.25">
      <c r="A14" t="s">
        <v>1010</v>
      </c>
      <c r="H14" s="14" t="s">
        <v>2209</v>
      </c>
    </row>
    <row r="15" spans="1:9" x14ac:dyDescent="0.25">
      <c r="A15" t="s">
        <v>1059</v>
      </c>
      <c r="H15" s="14" t="s">
        <v>2210</v>
      </c>
    </row>
    <row r="16" spans="1:9" x14ac:dyDescent="0.25">
      <c r="A16" t="s">
        <v>1060</v>
      </c>
      <c r="H16" s="14" t="s">
        <v>2211</v>
      </c>
    </row>
    <row r="17" spans="1:8" x14ac:dyDescent="0.25">
      <c r="A17" t="s">
        <v>1061</v>
      </c>
      <c r="H17" s="14" t="s">
        <v>2212</v>
      </c>
    </row>
    <row r="18" spans="1:8" x14ac:dyDescent="0.25">
      <c r="A18" t="s">
        <v>1011</v>
      </c>
      <c r="H18" s="14" t="s">
        <v>2213</v>
      </c>
    </row>
    <row r="19" spans="1:8" x14ac:dyDescent="0.25">
      <c r="A19" t="s">
        <v>1062</v>
      </c>
      <c r="H19" s="14" t="s">
        <v>2214</v>
      </c>
    </row>
    <row r="20" spans="1:8" x14ac:dyDescent="0.25">
      <c r="A20" t="s">
        <v>1012</v>
      </c>
      <c r="H20" s="14" t="s">
        <v>2215</v>
      </c>
    </row>
    <row r="21" spans="1:8" x14ac:dyDescent="0.25">
      <c r="H21" s="14"/>
    </row>
    <row r="22" spans="1:8" x14ac:dyDescent="0.25">
      <c r="H22" s="14"/>
    </row>
    <row r="23" spans="1:8" x14ac:dyDescent="0.25">
      <c r="H23" s="14"/>
    </row>
    <row r="24" spans="1:8" x14ac:dyDescent="0.25">
      <c r="H24" s="14"/>
    </row>
    <row r="25" spans="1:8" x14ac:dyDescent="0.25">
      <c r="H25" s="14"/>
    </row>
    <row r="26" spans="1:8" x14ac:dyDescent="0.25">
      <c r="H26" s="14"/>
    </row>
    <row r="27" spans="1:8" x14ac:dyDescent="0.25">
      <c r="H27" s="14"/>
    </row>
    <row r="28" spans="1:8" x14ac:dyDescent="0.25">
      <c r="H28" s="14"/>
    </row>
    <row r="29" spans="1:8" x14ac:dyDescent="0.25">
      <c r="H29" s="14"/>
    </row>
    <row r="30" spans="1:8" x14ac:dyDescent="0.25">
      <c r="H30" s="14"/>
    </row>
    <row r="31" spans="1:8" x14ac:dyDescent="0.25">
      <c r="H31" s="14"/>
    </row>
    <row r="32" spans="1:8" x14ac:dyDescent="0.25">
      <c r="H32" s="14"/>
    </row>
    <row r="33" spans="8:8" x14ac:dyDescent="0.25">
      <c r="H33" s="14"/>
    </row>
    <row r="34" spans="8:8" x14ac:dyDescent="0.25">
      <c r="H34" s="14"/>
    </row>
    <row r="35" spans="8:8" x14ac:dyDescent="0.25">
      <c r="H35" s="14"/>
    </row>
    <row r="36" spans="8:8" x14ac:dyDescent="0.25">
      <c r="H36" s="14"/>
    </row>
    <row r="37" spans="8:8" x14ac:dyDescent="0.25">
      <c r="H37" s="14"/>
    </row>
    <row r="38" spans="8:8" x14ac:dyDescent="0.25">
      <c r="H38" s="14"/>
    </row>
    <row r="39" spans="8:8" x14ac:dyDescent="0.25">
      <c r="H39" s="14"/>
    </row>
    <row r="40" spans="8:8" x14ac:dyDescent="0.25">
      <c r="H40" s="14"/>
    </row>
    <row r="41" spans="8:8" x14ac:dyDescent="0.25">
      <c r="H41" s="14"/>
    </row>
    <row r="42" spans="8:8" x14ac:dyDescent="0.25">
      <c r="H42" s="14"/>
    </row>
    <row r="43" spans="8:8" x14ac:dyDescent="0.25">
      <c r="H43" s="14"/>
    </row>
    <row r="44" spans="8:8" x14ac:dyDescent="0.25">
      <c r="H44" s="14"/>
    </row>
    <row r="45" spans="8:8" x14ac:dyDescent="0.25">
      <c r="H45" s="14"/>
    </row>
    <row r="46" spans="8:8" x14ac:dyDescent="0.25">
      <c r="H46" s="14"/>
    </row>
    <row r="47" spans="8:8" x14ac:dyDescent="0.25">
      <c r="H47" s="14"/>
    </row>
    <row r="48" spans="8:8" x14ac:dyDescent="0.25">
      <c r="H48" s="14"/>
    </row>
    <row r="49" spans="8:8" x14ac:dyDescent="0.25">
      <c r="H49" s="14"/>
    </row>
    <row r="50" spans="8:8" x14ac:dyDescent="0.25">
      <c r="H50" s="14"/>
    </row>
    <row r="51" spans="8:8" x14ac:dyDescent="0.25">
      <c r="H51" s="14"/>
    </row>
    <row r="52" spans="8:8" x14ac:dyDescent="0.25">
      <c r="H52" s="14"/>
    </row>
    <row r="53" spans="8:8" x14ac:dyDescent="0.25">
      <c r="H53" s="14"/>
    </row>
    <row r="54" spans="8:8" x14ac:dyDescent="0.25">
      <c r="H54" s="14"/>
    </row>
    <row r="55" spans="8:8" x14ac:dyDescent="0.25">
      <c r="H55" s="14"/>
    </row>
    <row r="56" spans="8:8" x14ac:dyDescent="0.25">
      <c r="H56" s="14"/>
    </row>
    <row r="57" spans="8:8" x14ac:dyDescent="0.25">
      <c r="H57" s="14"/>
    </row>
    <row r="58" spans="8:8" x14ac:dyDescent="0.25">
      <c r="H58" s="14"/>
    </row>
    <row r="59" spans="8:8" x14ac:dyDescent="0.25">
      <c r="H59" s="14"/>
    </row>
    <row r="60" spans="8:8" x14ac:dyDescent="0.25">
      <c r="H60" s="14"/>
    </row>
    <row r="61" spans="8:8" x14ac:dyDescent="0.25">
      <c r="H61" s="14"/>
    </row>
    <row r="62" spans="8:8" x14ac:dyDescent="0.25">
      <c r="H62" s="14"/>
    </row>
    <row r="63" spans="8:8" x14ac:dyDescent="0.25">
      <c r="H63" s="14"/>
    </row>
    <row r="64" spans="8:8" x14ac:dyDescent="0.25">
      <c r="H64" s="14"/>
    </row>
    <row r="65" spans="8:8" x14ac:dyDescent="0.25">
      <c r="H65" s="14"/>
    </row>
    <row r="66" spans="8:8" x14ac:dyDescent="0.25">
      <c r="H66" s="14"/>
    </row>
    <row r="67" spans="8:8" x14ac:dyDescent="0.25">
      <c r="H67" s="14"/>
    </row>
    <row r="68" spans="8:8" x14ac:dyDescent="0.25">
      <c r="H68" s="14"/>
    </row>
    <row r="69" spans="8:8" x14ac:dyDescent="0.25">
      <c r="H69" s="14"/>
    </row>
    <row r="70" spans="8:8" x14ac:dyDescent="0.25">
      <c r="H70" s="14"/>
    </row>
    <row r="71" spans="8:8" x14ac:dyDescent="0.25">
      <c r="H71" s="14"/>
    </row>
    <row r="72" spans="8:8" x14ac:dyDescent="0.25">
      <c r="H72" s="14"/>
    </row>
    <row r="73" spans="8:8" x14ac:dyDescent="0.25">
      <c r="H73" s="14"/>
    </row>
    <row r="74" spans="8:8" x14ac:dyDescent="0.25">
      <c r="H74" s="14"/>
    </row>
    <row r="75" spans="8:8" x14ac:dyDescent="0.25">
      <c r="H75" s="14"/>
    </row>
    <row r="76" spans="8:8" x14ac:dyDescent="0.25">
      <c r="H76" s="14"/>
    </row>
    <row r="77" spans="8:8" x14ac:dyDescent="0.25">
      <c r="H77" s="14"/>
    </row>
    <row r="78" spans="8:8" x14ac:dyDescent="0.25">
      <c r="H78" s="14"/>
    </row>
    <row r="79" spans="8:8" x14ac:dyDescent="0.25">
      <c r="H79" s="14"/>
    </row>
    <row r="80" spans="8:8" x14ac:dyDescent="0.25">
      <c r="H80" s="14"/>
    </row>
    <row r="81" spans="8:8" x14ac:dyDescent="0.25">
      <c r="H81" s="14"/>
    </row>
    <row r="82" spans="8:8" x14ac:dyDescent="0.25">
      <c r="H82" s="14"/>
    </row>
    <row r="83" spans="8:8" x14ac:dyDescent="0.25">
      <c r="H83" s="14"/>
    </row>
    <row r="84" spans="8:8" x14ac:dyDescent="0.25">
      <c r="H84" s="14"/>
    </row>
    <row r="85" spans="8:8" x14ac:dyDescent="0.25">
      <c r="H85" s="14"/>
    </row>
    <row r="86" spans="8:8" x14ac:dyDescent="0.25">
      <c r="H86" s="14"/>
    </row>
    <row r="87" spans="8:8" x14ac:dyDescent="0.25">
      <c r="H87" s="14"/>
    </row>
    <row r="88" spans="8:8" x14ac:dyDescent="0.25">
      <c r="H88" s="14"/>
    </row>
    <row r="89" spans="8:8" x14ac:dyDescent="0.25">
      <c r="H89" s="14"/>
    </row>
    <row r="90" spans="8:8" x14ac:dyDescent="0.25">
      <c r="H90" s="14"/>
    </row>
    <row r="91" spans="8:8" x14ac:dyDescent="0.25">
      <c r="H91" s="14"/>
    </row>
    <row r="92" spans="8:8" x14ac:dyDescent="0.25">
      <c r="H92" s="14"/>
    </row>
    <row r="93" spans="8:8" x14ac:dyDescent="0.25">
      <c r="H93" s="14"/>
    </row>
    <row r="94" spans="8:8" x14ac:dyDescent="0.25">
      <c r="H94" s="14"/>
    </row>
    <row r="95" spans="8:8" x14ac:dyDescent="0.25">
      <c r="H95" s="14"/>
    </row>
    <row r="96" spans="8:8" x14ac:dyDescent="0.25">
      <c r="H96" s="14"/>
    </row>
    <row r="97" spans="8:8" x14ac:dyDescent="0.25">
      <c r="H97" s="14"/>
    </row>
    <row r="98" spans="8:8" x14ac:dyDescent="0.25">
      <c r="H98" s="14"/>
    </row>
    <row r="99" spans="8:8" x14ac:dyDescent="0.25">
      <c r="H99" s="14"/>
    </row>
    <row r="100" spans="8:8" x14ac:dyDescent="0.25">
      <c r="H100" s="14"/>
    </row>
    <row r="101" spans="8:8" x14ac:dyDescent="0.25">
      <c r="H101" s="14"/>
    </row>
    <row r="102" spans="8:8" x14ac:dyDescent="0.25">
      <c r="H102" s="14"/>
    </row>
    <row r="103" spans="8:8" x14ac:dyDescent="0.25">
      <c r="H103" s="14"/>
    </row>
    <row r="104" spans="8:8" x14ac:dyDescent="0.25">
      <c r="H104" s="14"/>
    </row>
    <row r="105" spans="8:8" x14ac:dyDescent="0.25">
      <c r="H105" s="14"/>
    </row>
    <row r="106" spans="8:8" x14ac:dyDescent="0.25">
      <c r="H106" s="14"/>
    </row>
    <row r="107" spans="8:8" x14ac:dyDescent="0.25">
      <c r="H107" s="14"/>
    </row>
    <row r="108" spans="8:8" x14ac:dyDescent="0.25">
      <c r="H108" s="14"/>
    </row>
    <row r="109" spans="8:8" x14ac:dyDescent="0.25">
      <c r="H109" s="14"/>
    </row>
    <row r="110" spans="8:8" x14ac:dyDescent="0.25">
      <c r="H110" s="14"/>
    </row>
    <row r="111" spans="8:8" x14ac:dyDescent="0.25">
      <c r="H111" s="14"/>
    </row>
    <row r="112" spans="8:8" x14ac:dyDescent="0.25">
      <c r="H112" s="14"/>
    </row>
    <row r="113" spans="8:8" x14ac:dyDescent="0.25">
      <c r="H113" s="14"/>
    </row>
    <row r="114" spans="8:8" x14ac:dyDescent="0.25">
      <c r="H114" s="14"/>
    </row>
    <row r="115" spans="8:8" x14ac:dyDescent="0.25">
      <c r="H115" s="14"/>
    </row>
    <row r="116" spans="8:8" x14ac:dyDescent="0.25">
      <c r="H116" s="14"/>
    </row>
    <row r="117" spans="8:8" x14ac:dyDescent="0.25">
      <c r="H117" s="14"/>
    </row>
    <row r="118" spans="8:8" x14ac:dyDescent="0.25">
      <c r="H118" s="14"/>
    </row>
    <row r="119" spans="8:8" x14ac:dyDescent="0.25">
      <c r="H119" s="14"/>
    </row>
    <row r="120" spans="8:8" x14ac:dyDescent="0.25">
      <c r="H120" s="14"/>
    </row>
    <row r="121" spans="8:8" x14ac:dyDescent="0.25">
      <c r="H121" s="14"/>
    </row>
    <row r="122" spans="8:8" x14ac:dyDescent="0.25">
      <c r="H122" s="14"/>
    </row>
    <row r="123" spans="8:8" x14ac:dyDescent="0.25">
      <c r="H123" s="14"/>
    </row>
    <row r="124" spans="8:8" x14ac:dyDescent="0.25">
      <c r="H124" s="14"/>
    </row>
    <row r="125" spans="8:8" x14ac:dyDescent="0.25">
      <c r="H125" s="14"/>
    </row>
    <row r="126" spans="8:8" x14ac:dyDescent="0.25">
      <c r="H126" s="14"/>
    </row>
    <row r="127" spans="8:8" x14ac:dyDescent="0.25">
      <c r="H127" s="14"/>
    </row>
    <row r="128" spans="8:8" x14ac:dyDescent="0.25">
      <c r="H128" s="14"/>
    </row>
    <row r="129" spans="8:8" x14ac:dyDescent="0.25">
      <c r="H129" s="14"/>
    </row>
    <row r="130" spans="8:8" x14ac:dyDescent="0.25">
      <c r="H130" s="14"/>
    </row>
    <row r="131" spans="8:8" x14ac:dyDescent="0.25">
      <c r="H131" s="14"/>
    </row>
    <row r="132" spans="8:8" x14ac:dyDescent="0.25">
      <c r="H132" s="14"/>
    </row>
    <row r="133" spans="8:8" x14ac:dyDescent="0.25">
      <c r="H133" s="14"/>
    </row>
    <row r="134" spans="8:8" x14ac:dyDescent="0.25">
      <c r="H134" s="14"/>
    </row>
    <row r="135" spans="8:8" x14ac:dyDescent="0.25">
      <c r="H135" s="14"/>
    </row>
    <row r="136" spans="8:8" x14ac:dyDescent="0.25">
      <c r="H136" s="14"/>
    </row>
    <row r="137" spans="8:8" x14ac:dyDescent="0.25">
      <c r="H137" s="14"/>
    </row>
    <row r="138" spans="8:8" x14ac:dyDescent="0.25">
      <c r="H138" s="14"/>
    </row>
    <row r="139" spans="8:8" x14ac:dyDescent="0.25">
      <c r="H139" s="14"/>
    </row>
    <row r="140" spans="8:8" x14ac:dyDescent="0.25">
      <c r="H140" s="14"/>
    </row>
    <row r="141" spans="8:8" x14ac:dyDescent="0.25">
      <c r="H141" s="14"/>
    </row>
    <row r="142" spans="8:8" x14ac:dyDescent="0.25">
      <c r="H142" s="14"/>
    </row>
    <row r="143" spans="8:8" x14ac:dyDescent="0.25">
      <c r="H143" s="14"/>
    </row>
    <row r="144" spans="8:8" x14ac:dyDescent="0.25">
      <c r="H144" s="14"/>
    </row>
    <row r="145" spans="8:8" x14ac:dyDescent="0.25">
      <c r="H145" s="14"/>
    </row>
    <row r="146" spans="8:8" x14ac:dyDescent="0.25">
      <c r="H146" s="14"/>
    </row>
    <row r="147" spans="8:8" x14ac:dyDescent="0.25">
      <c r="H147" s="14"/>
    </row>
    <row r="148" spans="8:8" x14ac:dyDescent="0.25">
      <c r="H148" s="14"/>
    </row>
    <row r="149" spans="8:8" x14ac:dyDescent="0.25">
      <c r="H149" s="14"/>
    </row>
    <row r="150" spans="8:8" x14ac:dyDescent="0.25">
      <c r="H150" s="14"/>
    </row>
    <row r="151" spans="8:8" x14ac:dyDescent="0.25">
      <c r="H151" s="14"/>
    </row>
    <row r="152" spans="8:8" x14ac:dyDescent="0.25">
      <c r="H152" s="14"/>
    </row>
    <row r="153" spans="8:8" x14ac:dyDescent="0.25">
      <c r="H153" s="14"/>
    </row>
    <row r="154" spans="8:8" x14ac:dyDescent="0.25">
      <c r="H154" s="14"/>
    </row>
    <row r="155" spans="8:8" x14ac:dyDescent="0.25">
      <c r="H155" s="14"/>
    </row>
    <row r="156" spans="8:8" x14ac:dyDescent="0.25">
      <c r="H156" s="14"/>
    </row>
    <row r="157" spans="8:8" x14ac:dyDescent="0.25">
      <c r="H157" s="14"/>
    </row>
    <row r="158" spans="8:8" x14ac:dyDescent="0.25">
      <c r="H158" s="14"/>
    </row>
    <row r="159" spans="8:8" x14ac:dyDescent="0.25">
      <c r="H159" s="14"/>
    </row>
    <row r="160" spans="8:8" x14ac:dyDescent="0.25">
      <c r="H160" s="14"/>
    </row>
    <row r="161" spans="8:8" x14ac:dyDescent="0.25">
      <c r="H161" s="14"/>
    </row>
    <row r="162" spans="8:8" x14ac:dyDescent="0.25">
      <c r="H162" s="14"/>
    </row>
    <row r="163" spans="8:8" x14ac:dyDescent="0.25">
      <c r="H163" s="14"/>
    </row>
    <row r="164" spans="8:8" x14ac:dyDescent="0.25">
      <c r="H164" s="14"/>
    </row>
    <row r="165" spans="8:8" x14ac:dyDescent="0.25">
      <c r="H165" s="14"/>
    </row>
    <row r="166" spans="8:8" x14ac:dyDescent="0.25">
      <c r="H166" s="14"/>
    </row>
    <row r="167" spans="8:8" x14ac:dyDescent="0.25">
      <c r="H167" s="14"/>
    </row>
    <row r="168" spans="8:8" x14ac:dyDescent="0.25">
      <c r="H168" s="14"/>
    </row>
    <row r="169" spans="8:8" x14ac:dyDescent="0.25">
      <c r="H169" s="14"/>
    </row>
    <row r="170" spans="8:8" x14ac:dyDescent="0.25">
      <c r="H170" s="14"/>
    </row>
    <row r="171" spans="8:8" x14ac:dyDescent="0.25">
      <c r="H171" s="14"/>
    </row>
    <row r="172" spans="8:8" x14ac:dyDescent="0.25">
      <c r="H172" s="14"/>
    </row>
    <row r="173" spans="8:8" x14ac:dyDescent="0.25">
      <c r="H173" s="14"/>
    </row>
    <row r="174" spans="8:8" x14ac:dyDescent="0.25">
      <c r="H174" s="14"/>
    </row>
    <row r="175" spans="8:8" x14ac:dyDescent="0.25">
      <c r="H175" s="14"/>
    </row>
    <row r="176" spans="8:8" x14ac:dyDescent="0.25">
      <c r="H176" s="14"/>
    </row>
    <row r="177" spans="8:8" x14ac:dyDescent="0.25">
      <c r="H177" s="14"/>
    </row>
    <row r="178" spans="8:8" x14ac:dyDescent="0.25">
      <c r="H178" s="14"/>
    </row>
    <row r="179" spans="8:8" x14ac:dyDescent="0.25">
      <c r="H179" s="14"/>
    </row>
    <row r="180" spans="8:8" x14ac:dyDescent="0.25">
      <c r="H180" s="14"/>
    </row>
    <row r="181" spans="8:8" x14ac:dyDescent="0.25">
      <c r="H181" s="14"/>
    </row>
    <row r="182" spans="8:8" x14ac:dyDescent="0.25">
      <c r="H182" s="14"/>
    </row>
    <row r="183" spans="8:8" x14ac:dyDescent="0.25">
      <c r="H183" s="14"/>
    </row>
    <row r="184" spans="8:8" x14ac:dyDescent="0.25">
      <c r="H184" s="14"/>
    </row>
    <row r="185" spans="8:8" x14ac:dyDescent="0.25">
      <c r="H185" s="14"/>
    </row>
    <row r="186" spans="8:8" x14ac:dyDescent="0.25">
      <c r="H186" s="14"/>
    </row>
    <row r="187" spans="8:8" x14ac:dyDescent="0.25">
      <c r="H187" s="14"/>
    </row>
    <row r="188" spans="8:8" x14ac:dyDescent="0.25">
      <c r="H188" s="14"/>
    </row>
    <row r="189" spans="8:8" x14ac:dyDescent="0.25">
      <c r="H189" s="14"/>
    </row>
    <row r="190" spans="8:8" x14ac:dyDescent="0.25">
      <c r="H190" s="14"/>
    </row>
    <row r="191" spans="8:8" x14ac:dyDescent="0.25">
      <c r="H191" s="14"/>
    </row>
    <row r="192" spans="8:8" x14ac:dyDescent="0.25">
      <c r="H192" s="14"/>
    </row>
    <row r="193" spans="8:8" x14ac:dyDescent="0.25">
      <c r="H193" s="14"/>
    </row>
    <row r="194" spans="8:8" x14ac:dyDescent="0.25">
      <c r="H194" s="14"/>
    </row>
    <row r="195" spans="8:8" x14ac:dyDescent="0.25">
      <c r="H195" s="14"/>
    </row>
    <row r="196" spans="8:8" x14ac:dyDescent="0.25">
      <c r="H196" s="14"/>
    </row>
    <row r="197" spans="8:8" x14ac:dyDescent="0.25">
      <c r="H197" s="14"/>
    </row>
    <row r="198" spans="8:8" x14ac:dyDescent="0.25">
      <c r="H198" s="14"/>
    </row>
    <row r="199" spans="8:8" x14ac:dyDescent="0.25">
      <c r="H199" s="14"/>
    </row>
    <row r="200" spans="8:8" x14ac:dyDescent="0.25">
      <c r="H200" s="14"/>
    </row>
    <row r="201" spans="8:8" x14ac:dyDescent="0.25">
      <c r="H201" s="14"/>
    </row>
    <row r="202" spans="8:8" x14ac:dyDescent="0.25">
      <c r="H202" s="14"/>
    </row>
    <row r="203" spans="8:8" x14ac:dyDescent="0.25">
      <c r="H203" s="14"/>
    </row>
    <row r="204" spans="8:8" x14ac:dyDescent="0.25">
      <c r="H204" s="14"/>
    </row>
    <row r="205" spans="8:8" x14ac:dyDescent="0.25">
      <c r="H205" s="14"/>
    </row>
    <row r="206" spans="8:8" x14ac:dyDescent="0.25">
      <c r="H206" s="14"/>
    </row>
    <row r="207" spans="8:8" x14ac:dyDescent="0.25">
      <c r="H207" s="14"/>
    </row>
    <row r="208" spans="8:8" x14ac:dyDescent="0.25">
      <c r="H208" s="14"/>
    </row>
    <row r="209" spans="8:8" x14ac:dyDescent="0.25">
      <c r="H209" s="14"/>
    </row>
    <row r="210" spans="8:8" x14ac:dyDescent="0.25">
      <c r="H210" s="14"/>
    </row>
    <row r="211" spans="8:8" x14ac:dyDescent="0.25">
      <c r="H211" s="14"/>
    </row>
    <row r="212" spans="8:8" x14ac:dyDescent="0.25">
      <c r="H212" s="14"/>
    </row>
    <row r="213" spans="8:8" x14ac:dyDescent="0.25">
      <c r="H213" s="14"/>
    </row>
    <row r="214" spans="8:8" x14ac:dyDescent="0.25">
      <c r="H214" s="14"/>
    </row>
    <row r="215" spans="8:8" x14ac:dyDescent="0.25">
      <c r="H215" s="14"/>
    </row>
    <row r="216" spans="8:8" x14ac:dyDescent="0.25">
      <c r="H216" s="14"/>
    </row>
    <row r="217" spans="8:8" x14ac:dyDescent="0.25">
      <c r="H217" s="14"/>
    </row>
    <row r="218" spans="8:8" x14ac:dyDescent="0.25">
      <c r="H218" s="14"/>
    </row>
    <row r="219" spans="8:8" x14ac:dyDescent="0.25">
      <c r="H219" s="14"/>
    </row>
    <row r="220" spans="8:8" x14ac:dyDescent="0.25">
      <c r="H220" s="14"/>
    </row>
    <row r="221" spans="8:8" x14ac:dyDescent="0.25">
      <c r="H221" s="14"/>
    </row>
    <row r="222" spans="8:8" x14ac:dyDescent="0.25">
      <c r="H222" s="14"/>
    </row>
    <row r="223" spans="8:8" x14ac:dyDescent="0.25">
      <c r="H223" s="14"/>
    </row>
    <row r="224" spans="8:8" x14ac:dyDescent="0.25">
      <c r="H224" s="14"/>
    </row>
    <row r="225" spans="8:8" x14ac:dyDescent="0.25">
      <c r="H225" s="14"/>
    </row>
    <row r="226" spans="8:8" x14ac:dyDescent="0.25">
      <c r="H226" s="14"/>
    </row>
    <row r="227" spans="8:8" x14ac:dyDescent="0.25">
      <c r="H227" s="14"/>
    </row>
    <row r="228" spans="8:8" x14ac:dyDescent="0.25">
      <c r="H228" s="14"/>
    </row>
    <row r="229" spans="8:8" x14ac:dyDescent="0.25">
      <c r="H229" s="14"/>
    </row>
    <row r="230" spans="8:8" x14ac:dyDescent="0.25">
      <c r="H230" s="14"/>
    </row>
    <row r="231" spans="8:8" x14ac:dyDescent="0.25">
      <c r="H231" s="14"/>
    </row>
    <row r="232" spans="8:8" x14ac:dyDescent="0.25">
      <c r="H232" s="14"/>
    </row>
    <row r="233" spans="8:8" x14ac:dyDescent="0.25">
      <c r="H233" s="14"/>
    </row>
    <row r="234" spans="8:8" x14ac:dyDescent="0.25">
      <c r="H234" s="14"/>
    </row>
    <row r="235" spans="8:8" x14ac:dyDescent="0.25">
      <c r="H235" s="14"/>
    </row>
    <row r="236" spans="8:8" x14ac:dyDescent="0.25">
      <c r="H236" s="14"/>
    </row>
    <row r="237" spans="8:8" x14ac:dyDescent="0.25">
      <c r="H237" s="14"/>
    </row>
    <row r="238" spans="8:8" x14ac:dyDescent="0.25">
      <c r="H238" s="14"/>
    </row>
    <row r="239" spans="8:8" x14ac:dyDescent="0.25">
      <c r="H239" s="14"/>
    </row>
    <row r="240" spans="8:8" x14ac:dyDescent="0.25">
      <c r="H240" s="14"/>
    </row>
    <row r="241" spans="8:8" x14ac:dyDescent="0.25">
      <c r="H241" s="14"/>
    </row>
    <row r="242" spans="8:8" x14ac:dyDescent="0.25">
      <c r="H242" s="14"/>
    </row>
    <row r="243" spans="8:8" x14ac:dyDescent="0.25">
      <c r="H243" s="14"/>
    </row>
    <row r="244" spans="8:8" x14ac:dyDescent="0.25">
      <c r="H244" s="14"/>
    </row>
    <row r="245" spans="8:8" x14ac:dyDescent="0.25">
      <c r="H245" s="14"/>
    </row>
    <row r="246" spans="8:8" x14ac:dyDescent="0.25">
      <c r="H246" s="14"/>
    </row>
    <row r="247" spans="8:8" x14ac:dyDescent="0.25">
      <c r="H247" s="14"/>
    </row>
    <row r="248" spans="8:8" x14ac:dyDescent="0.25">
      <c r="H248" s="14"/>
    </row>
    <row r="249" spans="8:8" x14ac:dyDescent="0.25">
      <c r="H249" s="14"/>
    </row>
    <row r="250" spans="8:8" x14ac:dyDescent="0.25">
      <c r="H250" s="14"/>
    </row>
    <row r="251" spans="8:8" x14ac:dyDescent="0.25">
      <c r="H251" s="14"/>
    </row>
    <row r="252" spans="8:8" x14ac:dyDescent="0.25">
      <c r="H252" s="14"/>
    </row>
    <row r="253" spans="8:8" x14ac:dyDescent="0.25">
      <c r="H253" s="14"/>
    </row>
    <row r="254" spans="8:8" x14ac:dyDescent="0.25">
      <c r="H254" s="14"/>
    </row>
    <row r="255" spans="8:8" x14ac:dyDescent="0.25">
      <c r="H255" s="14"/>
    </row>
    <row r="256" spans="8:8" x14ac:dyDescent="0.25">
      <c r="H256" s="14"/>
    </row>
    <row r="257" spans="8:8" x14ac:dyDescent="0.25">
      <c r="H257" s="14"/>
    </row>
    <row r="258" spans="8:8" x14ac:dyDescent="0.25">
      <c r="H258" s="14"/>
    </row>
    <row r="259" spans="8:8" x14ac:dyDescent="0.25">
      <c r="H259" s="14"/>
    </row>
    <row r="260" spans="8:8" x14ac:dyDescent="0.25">
      <c r="H260" s="14"/>
    </row>
    <row r="261" spans="8:8" x14ac:dyDescent="0.25">
      <c r="H261" s="14"/>
    </row>
    <row r="262" spans="8:8" x14ac:dyDescent="0.25">
      <c r="H262" s="14"/>
    </row>
    <row r="263" spans="8:8" x14ac:dyDescent="0.25">
      <c r="H263" s="14"/>
    </row>
    <row r="264" spans="8:8" x14ac:dyDescent="0.25">
      <c r="H264" s="14"/>
    </row>
    <row r="265" spans="8:8" x14ac:dyDescent="0.25">
      <c r="H265" s="14"/>
    </row>
    <row r="266" spans="8:8" x14ac:dyDescent="0.25">
      <c r="H266" s="14"/>
    </row>
    <row r="267" spans="8:8" x14ac:dyDescent="0.25">
      <c r="H267" s="14"/>
    </row>
    <row r="268" spans="8:8" x14ac:dyDescent="0.25">
      <c r="H268" s="14"/>
    </row>
    <row r="269" spans="8:8" x14ac:dyDescent="0.25">
      <c r="H269" s="14"/>
    </row>
    <row r="270" spans="8:8" x14ac:dyDescent="0.25">
      <c r="H270" s="14"/>
    </row>
    <row r="271" spans="8:8" x14ac:dyDescent="0.25">
      <c r="H271" s="14"/>
    </row>
    <row r="272" spans="8:8" x14ac:dyDescent="0.25">
      <c r="H272" s="14"/>
    </row>
    <row r="273" spans="8:8" x14ac:dyDescent="0.25">
      <c r="H273" s="14"/>
    </row>
    <row r="274" spans="8:8" x14ac:dyDescent="0.25">
      <c r="H274" s="14"/>
    </row>
    <row r="275" spans="8:8" x14ac:dyDescent="0.25">
      <c r="H275" s="14"/>
    </row>
    <row r="276" spans="8:8" x14ac:dyDescent="0.25">
      <c r="H276" s="14"/>
    </row>
    <row r="277" spans="8:8" x14ac:dyDescent="0.25">
      <c r="H277" s="14"/>
    </row>
    <row r="278" spans="8:8" x14ac:dyDescent="0.25">
      <c r="H278" s="14"/>
    </row>
    <row r="279" spans="8:8" x14ac:dyDescent="0.25">
      <c r="H279" s="14"/>
    </row>
    <row r="280" spans="8:8" x14ac:dyDescent="0.25">
      <c r="H280" s="14"/>
    </row>
    <row r="281" spans="8:8" x14ac:dyDescent="0.25">
      <c r="H281" s="14"/>
    </row>
    <row r="282" spans="8:8" x14ac:dyDescent="0.25">
      <c r="H282" s="14"/>
    </row>
    <row r="283" spans="8:8" x14ac:dyDescent="0.25">
      <c r="H283" s="14"/>
    </row>
    <row r="284" spans="8:8" x14ac:dyDescent="0.25">
      <c r="H284" s="14"/>
    </row>
    <row r="285" spans="8:8" x14ac:dyDescent="0.25">
      <c r="H285" s="14"/>
    </row>
    <row r="286" spans="8:8" x14ac:dyDescent="0.25">
      <c r="H286" s="14"/>
    </row>
    <row r="287" spans="8:8" x14ac:dyDescent="0.25">
      <c r="H287" s="14"/>
    </row>
    <row r="288" spans="8:8" x14ac:dyDescent="0.25">
      <c r="H288" s="14"/>
    </row>
    <row r="289" spans="8:8" x14ac:dyDescent="0.25">
      <c r="H289" s="14"/>
    </row>
    <row r="290" spans="8:8" x14ac:dyDescent="0.25">
      <c r="H290" s="14"/>
    </row>
    <row r="291" spans="8:8" x14ac:dyDescent="0.25">
      <c r="H291" s="14"/>
    </row>
    <row r="292" spans="8:8" x14ac:dyDescent="0.25">
      <c r="H292" s="14"/>
    </row>
    <row r="293" spans="8:8" x14ac:dyDescent="0.25">
      <c r="H293" s="14"/>
    </row>
    <row r="294" spans="8:8" x14ac:dyDescent="0.25">
      <c r="H294" s="14"/>
    </row>
    <row r="295" spans="8:8" x14ac:dyDescent="0.25">
      <c r="H295" s="14"/>
    </row>
    <row r="296" spans="8:8" x14ac:dyDescent="0.25">
      <c r="H296" s="14"/>
    </row>
    <row r="297" spans="8:8" x14ac:dyDescent="0.25">
      <c r="H297" s="14"/>
    </row>
    <row r="298" spans="8:8" x14ac:dyDescent="0.25">
      <c r="H298" s="14"/>
    </row>
    <row r="299" spans="8:8" x14ac:dyDescent="0.25">
      <c r="H299" s="14"/>
    </row>
    <row r="300" spans="8:8" x14ac:dyDescent="0.25">
      <c r="H300" s="14"/>
    </row>
    <row r="301" spans="8:8" x14ac:dyDescent="0.25">
      <c r="H301" s="14"/>
    </row>
    <row r="302" spans="8:8" x14ac:dyDescent="0.25">
      <c r="H302" s="14"/>
    </row>
    <row r="303" spans="8:8" x14ac:dyDescent="0.25">
      <c r="H303" s="14"/>
    </row>
    <row r="304" spans="8:8" x14ac:dyDescent="0.25">
      <c r="H304" s="14"/>
    </row>
    <row r="305" spans="8:8" x14ac:dyDescent="0.25">
      <c r="H305" s="14"/>
    </row>
    <row r="306" spans="8:8" x14ac:dyDescent="0.25">
      <c r="H306" s="14"/>
    </row>
    <row r="307" spans="8:8" x14ac:dyDescent="0.25">
      <c r="H307" s="14"/>
    </row>
    <row r="308" spans="8:8" x14ac:dyDescent="0.25">
      <c r="H308" s="14"/>
    </row>
    <row r="309" spans="8:8" x14ac:dyDescent="0.25">
      <c r="H309" s="14"/>
    </row>
    <row r="310" spans="8:8" x14ac:dyDescent="0.25">
      <c r="H310" s="14"/>
    </row>
    <row r="311" spans="8:8" x14ac:dyDescent="0.25">
      <c r="H311" s="14"/>
    </row>
    <row r="312" spans="8:8" x14ac:dyDescent="0.25">
      <c r="H312" s="14"/>
    </row>
    <row r="313" spans="8:8" x14ac:dyDescent="0.25">
      <c r="H313" s="14"/>
    </row>
    <row r="314" spans="8:8" x14ac:dyDescent="0.25">
      <c r="H314" s="14"/>
    </row>
    <row r="315" spans="8:8" x14ac:dyDescent="0.25">
      <c r="H315" s="14"/>
    </row>
    <row r="316" spans="8:8" x14ac:dyDescent="0.25">
      <c r="H316" s="14"/>
    </row>
    <row r="317" spans="8:8" x14ac:dyDescent="0.25">
      <c r="H317" s="14"/>
    </row>
    <row r="318" spans="8:8" x14ac:dyDescent="0.25">
      <c r="H318" s="14"/>
    </row>
    <row r="319" spans="8:8" x14ac:dyDescent="0.25">
      <c r="H319" s="14"/>
    </row>
    <row r="320" spans="8:8" x14ac:dyDescent="0.25">
      <c r="H320" s="14"/>
    </row>
    <row r="321" spans="8:8" x14ac:dyDescent="0.25">
      <c r="H321" s="14"/>
    </row>
    <row r="322" spans="8:8" x14ac:dyDescent="0.25">
      <c r="H322" s="14"/>
    </row>
    <row r="323" spans="8:8" x14ac:dyDescent="0.25">
      <c r="H323" s="14"/>
    </row>
    <row r="324" spans="8:8" x14ac:dyDescent="0.25">
      <c r="H324" s="14"/>
    </row>
    <row r="325" spans="8:8" x14ac:dyDescent="0.25">
      <c r="H325" s="14"/>
    </row>
    <row r="326" spans="8:8" x14ac:dyDescent="0.25">
      <c r="H326" s="14"/>
    </row>
    <row r="327" spans="8:8" x14ac:dyDescent="0.25">
      <c r="H327" s="14"/>
    </row>
    <row r="328" spans="8:8" x14ac:dyDescent="0.25">
      <c r="H328" s="14"/>
    </row>
    <row r="329" spans="8:8" x14ac:dyDescent="0.25">
      <c r="H329" s="14"/>
    </row>
    <row r="330" spans="8:8" x14ac:dyDescent="0.25">
      <c r="H330" s="14"/>
    </row>
    <row r="331" spans="8:8" x14ac:dyDescent="0.25">
      <c r="H331" s="14"/>
    </row>
    <row r="332" spans="8:8" x14ac:dyDescent="0.25">
      <c r="H332" s="14"/>
    </row>
    <row r="333" spans="8:8" x14ac:dyDescent="0.25">
      <c r="H333" s="14"/>
    </row>
    <row r="334" spans="8:8" x14ac:dyDescent="0.25">
      <c r="H334" s="14"/>
    </row>
    <row r="335" spans="8:8" x14ac:dyDescent="0.25">
      <c r="H335" s="14"/>
    </row>
    <row r="336" spans="8:8" x14ac:dyDescent="0.25">
      <c r="H336" s="14"/>
    </row>
    <row r="337" spans="8:8" x14ac:dyDescent="0.25">
      <c r="H337" s="14"/>
    </row>
    <row r="338" spans="8:8" x14ac:dyDescent="0.25">
      <c r="H338" s="14"/>
    </row>
    <row r="339" spans="8:8" x14ac:dyDescent="0.25">
      <c r="H339" s="14"/>
    </row>
    <row r="340" spans="8:8" x14ac:dyDescent="0.25">
      <c r="H340" s="14"/>
    </row>
    <row r="341" spans="8:8" x14ac:dyDescent="0.25">
      <c r="H341" s="14"/>
    </row>
    <row r="342" spans="8:8" x14ac:dyDescent="0.25">
      <c r="H342" s="14"/>
    </row>
    <row r="343" spans="8:8" x14ac:dyDescent="0.25">
      <c r="H343" s="14"/>
    </row>
    <row r="344" spans="8:8" x14ac:dyDescent="0.25">
      <c r="H344" s="14"/>
    </row>
    <row r="345" spans="8:8" x14ac:dyDescent="0.25">
      <c r="H345" s="14"/>
    </row>
    <row r="346" spans="8:8" x14ac:dyDescent="0.25">
      <c r="H346" s="14"/>
    </row>
    <row r="347" spans="8:8" x14ac:dyDescent="0.25">
      <c r="H347" s="14"/>
    </row>
    <row r="348" spans="8:8" x14ac:dyDescent="0.25">
      <c r="H348" s="14"/>
    </row>
    <row r="349" spans="8:8" x14ac:dyDescent="0.25">
      <c r="H349" s="14"/>
    </row>
    <row r="350" spans="8:8" x14ac:dyDescent="0.25">
      <c r="H350" s="14"/>
    </row>
    <row r="351" spans="8:8" x14ac:dyDescent="0.25">
      <c r="H351" s="14"/>
    </row>
    <row r="352" spans="8:8" x14ac:dyDescent="0.25">
      <c r="H352" s="14"/>
    </row>
    <row r="353" spans="8:8" x14ac:dyDescent="0.25">
      <c r="H353" s="14"/>
    </row>
    <row r="354" spans="8:8" x14ac:dyDescent="0.25">
      <c r="H354" s="14"/>
    </row>
    <row r="355" spans="8:8" x14ac:dyDescent="0.25">
      <c r="H355" s="14"/>
    </row>
    <row r="356" spans="8:8" x14ac:dyDescent="0.25">
      <c r="H356" s="14"/>
    </row>
    <row r="357" spans="8:8" x14ac:dyDescent="0.25">
      <c r="H357" s="14"/>
    </row>
    <row r="358" spans="8:8" x14ac:dyDescent="0.25">
      <c r="H358" s="14"/>
    </row>
    <row r="359" spans="8:8" x14ac:dyDescent="0.25">
      <c r="H359" s="14"/>
    </row>
    <row r="360" spans="8:8" x14ac:dyDescent="0.25">
      <c r="H360" s="14"/>
    </row>
    <row r="361" spans="8:8" x14ac:dyDescent="0.25">
      <c r="H361" s="14"/>
    </row>
    <row r="362" spans="8:8" x14ac:dyDescent="0.25">
      <c r="H362" s="14"/>
    </row>
    <row r="363" spans="8:8" x14ac:dyDescent="0.25">
      <c r="H363" s="14"/>
    </row>
    <row r="364" spans="8:8" x14ac:dyDescent="0.25">
      <c r="H364" s="14"/>
    </row>
    <row r="365" spans="8:8" x14ac:dyDescent="0.25">
      <c r="H365" s="14"/>
    </row>
    <row r="366" spans="8:8" x14ac:dyDescent="0.25">
      <c r="H366" s="14"/>
    </row>
    <row r="367" spans="8:8" x14ac:dyDescent="0.25">
      <c r="H367" s="14"/>
    </row>
    <row r="368" spans="8:8" x14ac:dyDescent="0.25">
      <c r="H368" s="14"/>
    </row>
    <row r="369" spans="8:8" x14ac:dyDescent="0.25">
      <c r="H369" s="14"/>
    </row>
    <row r="370" spans="8:8" x14ac:dyDescent="0.25">
      <c r="H370" s="14"/>
    </row>
    <row r="371" spans="8:8" x14ac:dyDescent="0.25">
      <c r="H371" s="14"/>
    </row>
    <row r="372" spans="8:8" x14ac:dyDescent="0.25">
      <c r="H372" s="14"/>
    </row>
    <row r="373" spans="8:8" x14ac:dyDescent="0.25">
      <c r="H373" s="14"/>
    </row>
    <row r="374" spans="8:8" x14ac:dyDescent="0.25">
      <c r="H374" s="14"/>
    </row>
    <row r="375" spans="8:8" x14ac:dyDescent="0.25">
      <c r="H375" s="14"/>
    </row>
    <row r="376" spans="8:8" x14ac:dyDescent="0.25">
      <c r="H376" s="14"/>
    </row>
    <row r="377" spans="8:8" x14ac:dyDescent="0.25">
      <c r="H377" s="14"/>
    </row>
    <row r="378" spans="8:8" x14ac:dyDescent="0.25">
      <c r="H378" s="14"/>
    </row>
    <row r="379" spans="8:8" x14ac:dyDescent="0.25">
      <c r="H379" s="14"/>
    </row>
    <row r="380" spans="8:8" x14ac:dyDescent="0.25">
      <c r="H380" s="14"/>
    </row>
    <row r="381" spans="8:8" x14ac:dyDescent="0.25">
      <c r="H381" s="14"/>
    </row>
    <row r="382" spans="8:8" x14ac:dyDescent="0.25">
      <c r="H382" s="14"/>
    </row>
    <row r="383" spans="8:8" x14ac:dyDescent="0.25">
      <c r="H383" s="14"/>
    </row>
    <row r="384" spans="8:8" x14ac:dyDescent="0.25">
      <c r="H384" s="14"/>
    </row>
    <row r="385" spans="8:8" x14ac:dyDescent="0.25">
      <c r="H385" s="14"/>
    </row>
    <row r="386" spans="8:8" x14ac:dyDescent="0.25">
      <c r="H386" s="14"/>
    </row>
    <row r="387" spans="8:8" x14ac:dyDescent="0.25">
      <c r="H387" s="14"/>
    </row>
    <row r="388" spans="8:8" x14ac:dyDescent="0.25">
      <c r="H388" s="14"/>
    </row>
    <row r="389" spans="8:8" x14ac:dyDescent="0.25">
      <c r="H389" s="14"/>
    </row>
    <row r="390" spans="8:8" x14ac:dyDescent="0.25">
      <c r="H390" s="14"/>
    </row>
    <row r="391" spans="8:8" x14ac:dyDescent="0.25">
      <c r="H391" s="14"/>
    </row>
    <row r="392" spans="8:8" x14ac:dyDescent="0.25">
      <c r="H392" s="14"/>
    </row>
    <row r="393" spans="8:8" x14ac:dyDescent="0.25">
      <c r="H393" s="14"/>
    </row>
    <row r="394" spans="8:8" x14ac:dyDescent="0.25">
      <c r="H394" s="14"/>
    </row>
    <row r="395" spans="8:8" x14ac:dyDescent="0.25">
      <c r="H395" s="14"/>
    </row>
    <row r="396" spans="8:8" x14ac:dyDescent="0.25">
      <c r="H396" s="14"/>
    </row>
    <row r="397" spans="8:8" x14ac:dyDescent="0.25">
      <c r="H397" s="14"/>
    </row>
    <row r="398" spans="8:8" x14ac:dyDescent="0.25">
      <c r="H398" s="14"/>
    </row>
    <row r="399" spans="8:8" x14ac:dyDescent="0.25">
      <c r="H399" s="14"/>
    </row>
    <row r="400" spans="8:8" x14ac:dyDescent="0.25">
      <c r="H400" s="14"/>
    </row>
    <row r="401" spans="8:8" x14ac:dyDescent="0.25">
      <c r="H401" s="14"/>
    </row>
    <row r="402" spans="8:8" x14ac:dyDescent="0.25">
      <c r="H402" s="14"/>
    </row>
    <row r="403" spans="8:8" x14ac:dyDescent="0.25">
      <c r="H403" s="14"/>
    </row>
    <row r="404" spans="8:8" x14ac:dyDescent="0.25">
      <c r="H404" s="14"/>
    </row>
    <row r="405" spans="8:8" x14ac:dyDescent="0.25">
      <c r="H405" s="14"/>
    </row>
    <row r="406" spans="8:8" x14ac:dyDescent="0.25">
      <c r="H406" s="14"/>
    </row>
    <row r="407" spans="8:8" x14ac:dyDescent="0.25">
      <c r="H407" s="14"/>
    </row>
    <row r="408" spans="8:8" x14ac:dyDescent="0.25">
      <c r="H408" s="14"/>
    </row>
    <row r="409" spans="8:8" x14ac:dyDescent="0.25">
      <c r="H409" s="14"/>
    </row>
    <row r="410" spans="8:8" x14ac:dyDescent="0.25">
      <c r="H410" s="14"/>
    </row>
    <row r="411" spans="8:8" x14ac:dyDescent="0.25">
      <c r="H411" s="14"/>
    </row>
    <row r="412" spans="8:8" x14ac:dyDescent="0.25">
      <c r="H412" s="14"/>
    </row>
    <row r="413" spans="8:8" x14ac:dyDescent="0.25">
      <c r="H413" s="14"/>
    </row>
    <row r="414" spans="8:8" x14ac:dyDescent="0.25">
      <c r="H414" s="14"/>
    </row>
    <row r="415" spans="8:8" x14ac:dyDescent="0.25">
      <c r="H415" s="14"/>
    </row>
    <row r="416" spans="8:8" x14ac:dyDescent="0.25">
      <c r="H416" s="14"/>
    </row>
    <row r="417" spans="8:8" x14ac:dyDescent="0.25">
      <c r="H417" s="14"/>
    </row>
    <row r="418" spans="8:8" x14ac:dyDescent="0.25">
      <c r="H418" s="14"/>
    </row>
    <row r="419" spans="8:8" x14ac:dyDescent="0.25">
      <c r="H419" s="14"/>
    </row>
    <row r="420" spans="8:8" x14ac:dyDescent="0.25">
      <c r="H420" s="14"/>
    </row>
    <row r="421" spans="8:8" x14ac:dyDescent="0.25">
      <c r="H421" s="14"/>
    </row>
    <row r="422" spans="8:8" x14ac:dyDescent="0.25">
      <c r="H422" s="14"/>
    </row>
    <row r="423" spans="8:8" x14ac:dyDescent="0.25">
      <c r="H423" s="14"/>
    </row>
    <row r="424" spans="8:8" x14ac:dyDescent="0.25">
      <c r="H424" s="14"/>
    </row>
    <row r="425" spans="8:8" x14ac:dyDescent="0.25">
      <c r="H425" s="14"/>
    </row>
    <row r="426" spans="8:8" x14ac:dyDescent="0.25">
      <c r="H426" s="14"/>
    </row>
    <row r="427" spans="8:8" x14ac:dyDescent="0.25">
      <c r="H427" s="14"/>
    </row>
    <row r="428" spans="8:8" x14ac:dyDescent="0.25">
      <c r="H428" s="14"/>
    </row>
    <row r="429" spans="8:8" x14ac:dyDescent="0.25">
      <c r="H429" s="14"/>
    </row>
    <row r="430" spans="8:8" x14ac:dyDescent="0.25">
      <c r="H430" s="14"/>
    </row>
    <row r="431" spans="8:8" x14ac:dyDescent="0.25">
      <c r="H431" s="14"/>
    </row>
    <row r="432" spans="8:8" x14ac:dyDescent="0.25">
      <c r="H432" s="14"/>
    </row>
    <row r="433" spans="8:8" x14ac:dyDescent="0.25">
      <c r="H433" s="14"/>
    </row>
    <row r="434" spans="8:8" x14ac:dyDescent="0.25">
      <c r="H434" s="14"/>
    </row>
    <row r="435" spans="8:8" x14ac:dyDescent="0.25">
      <c r="H435" s="14"/>
    </row>
    <row r="436" spans="8:8" x14ac:dyDescent="0.25">
      <c r="H436" s="14"/>
    </row>
    <row r="437" spans="8:8" x14ac:dyDescent="0.25">
      <c r="H437" s="14"/>
    </row>
    <row r="438" spans="8:8" x14ac:dyDescent="0.25">
      <c r="H438" s="14"/>
    </row>
    <row r="439" spans="8:8" x14ac:dyDescent="0.25">
      <c r="H439" s="14"/>
    </row>
    <row r="440" spans="8:8" x14ac:dyDescent="0.25">
      <c r="H440" s="14"/>
    </row>
    <row r="441" spans="8:8" x14ac:dyDescent="0.25">
      <c r="H441" s="14"/>
    </row>
    <row r="442" spans="8:8" x14ac:dyDescent="0.25">
      <c r="H442" s="14"/>
    </row>
    <row r="443" spans="8:8" x14ac:dyDescent="0.25">
      <c r="H443" s="14"/>
    </row>
    <row r="444" spans="8:8" x14ac:dyDescent="0.25">
      <c r="H444" s="14"/>
    </row>
    <row r="445" spans="8:8" x14ac:dyDescent="0.25">
      <c r="H445" s="14"/>
    </row>
    <row r="446" spans="8:8" x14ac:dyDescent="0.25">
      <c r="H446" s="14"/>
    </row>
    <row r="447" spans="8:8" x14ac:dyDescent="0.25">
      <c r="H447" s="14"/>
    </row>
    <row r="448" spans="8:8" x14ac:dyDescent="0.25">
      <c r="H448" s="14"/>
    </row>
    <row r="449" spans="8:8" x14ac:dyDescent="0.25">
      <c r="H449" s="14"/>
    </row>
    <row r="450" spans="8:8" x14ac:dyDescent="0.25">
      <c r="H450" s="14"/>
    </row>
    <row r="451" spans="8:8" x14ac:dyDescent="0.25">
      <c r="H451" s="14"/>
    </row>
    <row r="452" spans="8:8" x14ac:dyDescent="0.25">
      <c r="H452" s="14"/>
    </row>
    <row r="453" spans="8:8" x14ac:dyDescent="0.25">
      <c r="H453" s="14"/>
    </row>
    <row r="454" spans="8:8" x14ac:dyDescent="0.25">
      <c r="H454" s="14"/>
    </row>
    <row r="455" spans="8:8" x14ac:dyDescent="0.25">
      <c r="H455" s="14"/>
    </row>
    <row r="456" spans="8:8" x14ac:dyDescent="0.25">
      <c r="H456" s="14"/>
    </row>
    <row r="457" spans="8:8" x14ac:dyDescent="0.25">
      <c r="H457" s="14"/>
    </row>
    <row r="458" spans="8:8" x14ac:dyDescent="0.25">
      <c r="H458" s="14"/>
    </row>
    <row r="459" spans="8:8" x14ac:dyDescent="0.25">
      <c r="H459" s="14"/>
    </row>
    <row r="460" spans="8:8" x14ac:dyDescent="0.25">
      <c r="H460" s="14"/>
    </row>
    <row r="461" spans="8:8" x14ac:dyDescent="0.25">
      <c r="H461" s="14"/>
    </row>
    <row r="462" spans="8:8" x14ac:dyDescent="0.25">
      <c r="H462" s="14"/>
    </row>
    <row r="463" spans="8:8" x14ac:dyDescent="0.25">
      <c r="H463" s="14"/>
    </row>
    <row r="464" spans="8:8" x14ac:dyDescent="0.25">
      <c r="H464" s="14"/>
    </row>
    <row r="465" spans="8:8" x14ac:dyDescent="0.25">
      <c r="H465" s="14"/>
    </row>
    <row r="466" spans="8:8" x14ac:dyDescent="0.25">
      <c r="H466" s="14"/>
    </row>
    <row r="467" spans="8:8" x14ac:dyDescent="0.25">
      <c r="H467" s="14"/>
    </row>
    <row r="468" spans="8:8" x14ac:dyDescent="0.25">
      <c r="H468" s="14"/>
    </row>
    <row r="469" spans="8:8" x14ac:dyDescent="0.25">
      <c r="H469" s="14"/>
    </row>
    <row r="470" spans="8:8" x14ac:dyDescent="0.25">
      <c r="H470" s="14"/>
    </row>
    <row r="471" spans="8:8" x14ac:dyDescent="0.25">
      <c r="H471" s="14"/>
    </row>
    <row r="472" spans="8:8" x14ac:dyDescent="0.25">
      <c r="H472" s="14"/>
    </row>
    <row r="473" spans="8:8" x14ac:dyDescent="0.25">
      <c r="H473" s="14"/>
    </row>
    <row r="474" spans="8:8" x14ac:dyDescent="0.25">
      <c r="H474" s="14"/>
    </row>
    <row r="475" spans="8:8" x14ac:dyDescent="0.25">
      <c r="H475" s="14"/>
    </row>
    <row r="476" spans="8:8" x14ac:dyDescent="0.25">
      <c r="H476" s="14"/>
    </row>
    <row r="477" spans="8:8" x14ac:dyDescent="0.25">
      <c r="H477" s="14"/>
    </row>
    <row r="478" spans="8:8" x14ac:dyDescent="0.25">
      <c r="H478" s="14"/>
    </row>
    <row r="479" spans="8:8" x14ac:dyDescent="0.25">
      <c r="H479" s="14"/>
    </row>
    <row r="480" spans="8:8" x14ac:dyDescent="0.25">
      <c r="H480" s="14"/>
    </row>
    <row r="481" spans="8:8" x14ac:dyDescent="0.25">
      <c r="H481" s="14"/>
    </row>
    <row r="482" spans="8:8" x14ac:dyDescent="0.25">
      <c r="H482" s="14"/>
    </row>
    <row r="483" spans="8:8" x14ac:dyDescent="0.25">
      <c r="H483" s="14"/>
    </row>
    <row r="484" spans="8:8" x14ac:dyDescent="0.25">
      <c r="H484" s="14"/>
    </row>
    <row r="485" spans="8:8" x14ac:dyDescent="0.25">
      <c r="H485" s="14"/>
    </row>
    <row r="486" spans="8:8" x14ac:dyDescent="0.25">
      <c r="H486" s="14"/>
    </row>
    <row r="487" spans="8:8" x14ac:dyDescent="0.25">
      <c r="H487" s="14"/>
    </row>
    <row r="488" spans="8:8" x14ac:dyDescent="0.25">
      <c r="H488" s="14"/>
    </row>
    <row r="489" spans="8:8" x14ac:dyDescent="0.25">
      <c r="H489" s="14"/>
    </row>
    <row r="490" spans="8:8" x14ac:dyDescent="0.25">
      <c r="H490" s="14"/>
    </row>
    <row r="491" spans="8:8" x14ac:dyDescent="0.25">
      <c r="H491" s="14"/>
    </row>
    <row r="492" spans="8:8" x14ac:dyDescent="0.25">
      <c r="H492" s="14"/>
    </row>
    <row r="493" spans="8:8" x14ac:dyDescent="0.25">
      <c r="H493" s="14"/>
    </row>
    <row r="494" spans="8:8" x14ac:dyDescent="0.25">
      <c r="H494" s="14"/>
    </row>
    <row r="495" spans="8:8" x14ac:dyDescent="0.25">
      <c r="H495" s="14"/>
    </row>
    <row r="496" spans="8:8" x14ac:dyDescent="0.25">
      <c r="H496" s="14"/>
    </row>
    <row r="497" spans="8:8" x14ac:dyDescent="0.25">
      <c r="H497" s="14"/>
    </row>
    <row r="498" spans="8:8" x14ac:dyDescent="0.25">
      <c r="H498" s="14"/>
    </row>
    <row r="499" spans="8:8" x14ac:dyDescent="0.25">
      <c r="H499" s="14"/>
    </row>
    <row r="500" spans="8:8" x14ac:dyDescent="0.25">
      <c r="H500" s="14"/>
    </row>
    <row r="501" spans="8:8" x14ac:dyDescent="0.25">
      <c r="H501" s="14"/>
    </row>
    <row r="502" spans="8:8" x14ac:dyDescent="0.25">
      <c r="H502" s="14"/>
    </row>
    <row r="503" spans="8:8" x14ac:dyDescent="0.25">
      <c r="H503" s="14"/>
    </row>
    <row r="504" spans="8:8" x14ac:dyDescent="0.25">
      <c r="H504" s="14"/>
    </row>
    <row r="505" spans="8:8" x14ac:dyDescent="0.25">
      <c r="H505" s="14"/>
    </row>
    <row r="506" spans="8:8" x14ac:dyDescent="0.25">
      <c r="H506" s="14"/>
    </row>
    <row r="507" spans="8:8" x14ac:dyDescent="0.25">
      <c r="H507" s="14"/>
    </row>
    <row r="508" spans="8:8" x14ac:dyDescent="0.25">
      <c r="H508" s="14"/>
    </row>
    <row r="509" spans="8:8" x14ac:dyDescent="0.25">
      <c r="H509" s="14"/>
    </row>
    <row r="510" spans="8:8" x14ac:dyDescent="0.25">
      <c r="H510" s="14"/>
    </row>
    <row r="511" spans="8:8" x14ac:dyDescent="0.25">
      <c r="H511" s="14"/>
    </row>
    <row r="512" spans="8:8" x14ac:dyDescent="0.25">
      <c r="H512" s="14"/>
    </row>
    <row r="513" spans="8:8" x14ac:dyDescent="0.25">
      <c r="H513" s="14"/>
    </row>
    <row r="514" spans="8:8" x14ac:dyDescent="0.25">
      <c r="H514" s="14"/>
    </row>
    <row r="515" spans="8:8" x14ac:dyDescent="0.25">
      <c r="H515" s="14"/>
    </row>
    <row r="516" spans="8:8" x14ac:dyDescent="0.25">
      <c r="H516" s="14"/>
    </row>
    <row r="517" spans="8:8" x14ac:dyDescent="0.25">
      <c r="H517" s="14"/>
    </row>
    <row r="518" spans="8:8" x14ac:dyDescent="0.25">
      <c r="H518" s="14"/>
    </row>
    <row r="519" spans="8:8" x14ac:dyDescent="0.25">
      <c r="H519" s="14"/>
    </row>
    <row r="520" spans="8:8" x14ac:dyDescent="0.25">
      <c r="H520" s="14"/>
    </row>
    <row r="521" spans="8:8" x14ac:dyDescent="0.25">
      <c r="H521" s="14"/>
    </row>
    <row r="522" spans="8:8" x14ac:dyDescent="0.25">
      <c r="H522" s="14"/>
    </row>
    <row r="523" spans="8:8" x14ac:dyDescent="0.25">
      <c r="H523" s="14"/>
    </row>
    <row r="524" spans="8:8" x14ac:dyDescent="0.25">
      <c r="H524" s="14"/>
    </row>
    <row r="525" spans="8:8" x14ac:dyDescent="0.25">
      <c r="H525" s="14"/>
    </row>
    <row r="526" spans="8:8" x14ac:dyDescent="0.25">
      <c r="H526" s="14"/>
    </row>
    <row r="527" spans="8:8" x14ac:dyDescent="0.25">
      <c r="H527" s="14"/>
    </row>
    <row r="528" spans="8:8" x14ac:dyDescent="0.25">
      <c r="H528" s="14"/>
    </row>
    <row r="529" spans="8:8" x14ac:dyDescent="0.25">
      <c r="H529" s="14"/>
    </row>
    <row r="530" spans="8:8" x14ac:dyDescent="0.25">
      <c r="H530" s="14"/>
    </row>
    <row r="531" spans="8:8" x14ac:dyDescent="0.25">
      <c r="H531" s="14"/>
    </row>
    <row r="532" spans="8:8" x14ac:dyDescent="0.25">
      <c r="H532" s="14"/>
    </row>
    <row r="533" spans="8:8" x14ac:dyDescent="0.25">
      <c r="H533" s="14"/>
    </row>
    <row r="534" spans="8:8" x14ac:dyDescent="0.25">
      <c r="H534" s="14"/>
    </row>
    <row r="535" spans="8:8" x14ac:dyDescent="0.25">
      <c r="H535" s="14"/>
    </row>
    <row r="536" spans="8:8" x14ac:dyDescent="0.25">
      <c r="H536" s="14"/>
    </row>
    <row r="537" spans="8:8" x14ac:dyDescent="0.25">
      <c r="H537" s="14"/>
    </row>
    <row r="538" spans="8:8" x14ac:dyDescent="0.25">
      <c r="H538" s="14"/>
    </row>
    <row r="539" spans="8:8" x14ac:dyDescent="0.25">
      <c r="H539" s="14"/>
    </row>
    <row r="540" spans="8:8" x14ac:dyDescent="0.25">
      <c r="H540" s="14"/>
    </row>
    <row r="541" spans="8:8" x14ac:dyDescent="0.25">
      <c r="H541" s="14"/>
    </row>
    <row r="542" spans="8:8" x14ac:dyDescent="0.25">
      <c r="H542" s="14"/>
    </row>
    <row r="543" spans="8:8" x14ac:dyDescent="0.25">
      <c r="H543" s="14"/>
    </row>
    <row r="544" spans="8:8" x14ac:dyDescent="0.25">
      <c r="H544" s="14"/>
    </row>
    <row r="545" spans="8:8" x14ac:dyDescent="0.25">
      <c r="H545" s="14"/>
    </row>
    <row r="546" spans="8:8" x14ac:dyDescent="0.25">
      <c r="H546" s="14"/>
    </row>
    <row r="547" spans="8:8" x14ac:dyDescent="0.25">
      <c r="H547" s="14"/>
    </row>
    <row r="548" spans="8:8" x14ac:dyDescent="0.25">
      <c r="H548" s="14"/>
    </row>
    <row r="549" spans="8:8" x14ac:dyDescent="0.25">
      <c r="H549" s="14"/>
    </row>
    <row r="550" spans="8:8" x14ac:dyDescent="0.25">
      <c r="H550" s="14"/>
    </row>
    <row r="551" spans="8:8" x14ac:dyDescent="0.25">
      <c r="H551" s="14"/>
    </row>
    <row r="552" spans="8:8" x14ac:dyDescent="0.25">
      <c r="H552" s="14"/>
    </row>
    <row r="553" spans="8:8" x14ac:dyDescent="0.25">
      <c r="H553" s="14"/>
    </row>
    <row r="554" spans="8:8" x14ac:dyDescent="0.25">
      <c r="H554" s="14"/>
    </row>
    <row r="555" spans="8:8" x14ac:dyDescent="0.25">
      <c r="H555" s="14"/>
    </row>
    <row r="556" spans="8:8" x14ac:dyDescent="0.25">
      <c r="H556" s="14"/>
    </row>
    <row r="557" spans="8:8" x14ac:dyDescent="0.25">
      <c r="H557" s="14"/>
    </row>
    <row r="558" spans="8:8" x14ac:dyDescent="0.25">
      <c r="H558" s="14"/>
    </row>
    <row r="559" spans="8:8" x14ac:dyDescent="0.25">
      <c r="H559" s="14"/>
    </row>
    <row r="560" spans="8:8" x14ac:dyDescent="0.25">
      <c r="H560" s="14"/>
    </row>
    <row r="561" spans="8:8" x14ac:dyDescent="0.25">
      <c r="H561" s="14"/>
    </row>
    <row r="562" spans="8:8" x14ac:dyDescent="0.25">
      <c r="H562" s="14"/>
    </row>
    <row r="563" spans="8:8" x14ac:dyDescent="0.25">
      <c r="H563" s="14"/>
    </row>
    <row r="564" spans="8:8" x14ac:dyDescent="0.25">
      <c r="H564" s="14"/>
    </row>
    <row r="565" spans="8:8" x14ac:dyDescent="0.25">
      <c r="H565" s="14"/>
    </row>
    <row r="566" spans="8:8" x14ac:dyDescent="0.25">
      <c r="H566" s="14"/>
    </row>
    <row r="567" spans="8:8" x14ac:dyDescent="0.25">
      <c r="H567" s="14"/>
    </row>
    <row r="568" spans="8:8" x14ac:dyDescent="0.25">
      <c r="H568" s="14"/>
    </row>
    <row r="569" spans="8:8" x14ac:dyDescent="0.25">
      <c r="H569" s="14"/>
    </row>
    <row r="570" spans="8:8" x14ac:dyDescent="0.25">
      <c r="H570" s="14"/>
    </row>
    <row r="571" spans="8:8" x14ac:dyDescent="0.25">
      <c r="H571" s="14"/>
    </row>
    <row r="572" spans="8:8" x14ac:dyDescent="0.25">
      <c r="H572" s="14"/>
    </row>
    <row r="573" spans="8:8" x14ac:dyDescent="0.25">
      <c r="H573" s="14"/>
    </row>
    <row r="574" spans="8:8" x14ac:dyDescent="0.25">
      <c r="H574" s="14"/>
    </row>
    <row r="575" spans="8:8" x14ac:dyDescent="0.25">
      <c r="H575" s="14"/>
    </row>
    <row r="576" spans="8:8" x14ac:dyDescent="0.25">
      <c r="H576" s="14"/>
    </row>
    <row r="577" spans="8:8" x14ac:dyDescent="0.25">
      <c r="H577" s="14"/>
    </row>
    <row r="578" spans="8:8" x14ac:dyDescent="0.25">
      <c r="H578" s="14"/>
    </row>
    <row r="579" spans="8:8" x14ac:dyDescent="0.25">
      <c r="H579" s="14"/>
    </row>
    <row r="580" spans="8:8" x14ac:dyDescent="0.25">
      <c r="H580" s="14"/>
    </row>
    <row r="581" spans="8:8" x14ac:dyDescent="0.25">
      <c r="H581" s="14"/>
    </row>
    <row r="582" spans="8:8" x14ac:dyDescent="0.25">
      <c r="H582" s="14"/>
    </row>
    <row r="583" spans="8:8" x14ac:dyDescent="0.25">
      <c r="H583" s="14"/>
    </row>
    <row r="584" spans="8:8" x14ac:dyDescent="0.25">
      <c r="H584" s="14"/>
    </row>
    <row r="585" spans="8:8" x14ac:dyDescent="0.25">
      <c r="H585" s="14"/>
    </row>
    <row r="586" spans="8:8" x14ac:dyDescent="0.25">
      <c r="H586" s="14"/>
    </row>
    <row r="587" spans="8:8" x14ac:dyDescent="0.25">
      <c r="H587" s="14"/>
    </row>
    <row r="588" spans="8:8" x14ac:dyDescent="0.25">
      <c r="H588" s="14"/>
    </row>
    <row r="589" spans="8:8" x14ac:dyDescent="0.25">
      <c r="H589" s="14"/>
    </row>
    <row r="590" spans="8:8" x14ac:dyDescent="0.25">
      <c r="H590" s="14"/>
    </row>
    <row r="591" spans="8:8" x14ac:dyDescent="0.25">
      <c r="H591" s="14"/>
    </row>
    <row r="592" spans="8:8" x14ac:dyDescent="0.25">
      <c r="H592" s="14"/>
    </row>
    <row r="593" spans="8:8" x14ac:dyDescent="0.25">
      <c r="H593" s="14"/>
    </row>
    <row r="594" spans="8:8" x14ac:dyDescent="0.25">
      <c r="H594" s="14"/>
    </row>
    <row r="595" spans="8:8" x14ac:dyDescent="0.25">
      <c r="H595" s="14"/>
    </row>
    <row r="596" spans="8:8" x14ac:dyDescent="0.25">
      <c r="H596" s="14"/>
    </row>
    <row r="597" spans="8:8" x14ac:dyDescent="0.25">
      <c r="H597" s="14"/>
    </row>
    <row r="598" spans="8:8" x14ac:dyDescent="0.25">
      <c r="H598" s="14"/>
    </row>
    <row r="599" spans="8:8" x14ac:dyDescent="0.25">
      <c r="H599" s="14"/>
    </row>
    <row r="600" spans="8:8" x14ac:dyDescent="0.25">
      <c r="H600" s="14"/>
    </row>
    <row r="601" spans="8:8" x14ac:dyDescent="0.25">
      <c r="H601" s="14"/>
    </row>
    <row r="602" spans="8:8" x14ac:dyDescent="0.25">
      <c r="H602" s="14"/>
    </row>
    <row r="603" spans="8:8" x14ac:dyDescent="0.25">
      <c r="H603" s="14"/>
    </row>
    <row r="604" spans="8:8" x14ac:dyDescent="0.25">
      <c r="H604" s="14"/>
    </row>
    <row r="605" spans="8:8" x14ac:dyDescent="0.25">
      <c r="H605" s="14"/>
    </row>
    <row r="606" spans="8:8" x14ac:dyDescent="0.25">
      <c r="H606" s="14"/>
    </row>
    <row r="607" spans="8:8" x14ac:dyDescent="0.25">
      <c r="H607" s="14"/>
    </row>
    <row r="608" spans="8:8" x14ac:dyDescent="0.25">
      <c r="H608" s="14"/>
    </row>
    <row r="609" spans="8:8" x14ac:dyDescent="0.25">
      <c r="H609" s="14"/>
    </row>
    <row r="610" spans="8:8" x14ac:dyDescent="0.25">
      <c r="H610" s="14"/>
    </row>
    <row r="611" spans="8:8" x14ac:dyDescent="0.25">
      <c r="H611" s="14"/>
    </row>
    <row r="612" spans="8:8" x14ac:dyDescent="0.25">
      <c r="H612" s="14"/>
    </row>
    <row r="613" spans="8:8" x14ac:dyDescent="0.25">
      <c r="H613" s="14"/>
    </row>
    <row r="614" spans="8:8" x14ac:dyDescent="0.25">
      <c r="H614" s="14"/>
    </row>
    <row r="615" spans="8:8" x14ac:dyDescent="0.25">
      <c r="H615" s="14"/>
    </row>
    <row r="616" spans="8:8" x14ac:dyDescent="0.25">
      <c r="H616" s="14"/>
    </row>
    <row r="617" spans="8:8" x14ac:dyDescent="0.25">
      <c r="H617" s="14"/>
    </row>
    <row r="618" spans="8:8" x14ac:dyDescent="0.25">
      <c r="H618" s="14"/>
    </row>
    <row r="619" spans="8:8" x14ac:dyDescent="0.25">
      <c r="H619" s="14"/>
    </row>
    <row r="620" spans="8:8" x14ac:dyDescent="0.25">
      <c r="H620" s="14"/>
    </row>
    <row r="621" spans="8:8" x14ac:dyDescent="0.25">
      <c r="H621" s="14"/>
    </row>
    <row r="622" spans="8:8" x14ac:dyDescent="0.25">
      <c r="H622" s="14"/>
    </row>
    <row r="623" spans="8:8" x14ac:dyDescent="0.25">
      <c r="H623" s="14"/>
    </row>
    <row r="624" spans="8:8" x14ac:dyDescent="0.25">
      <c r="H624" s="14"/>
    </row>
    <row r="625" spans="8:8" x14ac:dyDescent="0.25">
      <c r="H625" s="14"/>
    </row>
    <row r="626" spans="8:8" x14ac:dyDescent="0.25">
      <c r="H626" s="14"/>
    </row>
    <row r="627" spans="8:8" x14ac:dyDescent="0.25">
      <c r="H627" s="14"/>
    </row>
    <row r="628" spans="8:8" x14ac:dyDescent="0.25">
      <c r="H628" s="14"/>
    </row>
    <row r="629" spans="8:8" x14ac:dyDescent="0.25">
      <c r="H629" s="14"/>
    </row>
    <row r="630" spans="8:8" x14ac:dyDescent="0.25">
      <c r="H630" s="14"/>
    </row>
    <row r="631" spans="8:8" x14ac:dyDescent="0.25">
      <c r="H631" s="14"/>
    </row>
    <row r="632" spans="8:8" x14ac:dyDescent="0.25">
      <c r="H632" s="14"/>
    </row>
    <row r="633" spans="8:8" x14ac:dyDescent="0.25">
      <c r="H633" s="14"/>
    </row>
    <row r="634" spans="8:8" x14ac:dyDescent="0.25">
      <c r="H634" s="14"/>
    </row>
    <row r="635" spans="8:8" x14ac:dyDescent="0.25">
      <c r="H635" s="14"/>
    </row>
    <row r="636" spans="8:8" x14ac:dyDescent="0.25">
      <c r="H636" s="14"/>
    </row>
    <row r="637" spans="8:8" x14ac:dyDescent="0.25">
      <c r="H637" s="14"/>
    </row>
    <row r="638" spans="8:8" x14ac:dyDescent="0.25">
      <c r="H638" s="14"/>
    </row>
    <row r="639" spans="8:8" x14ac:dyDescent="0.25">
      <c r="H639" s="14"/>
    </row>
    <row r="640" spans="8:8" x14ac:dyDescent="0.25">
      <c r="H640" s="14"/>
    </row>
    <row r="641" spans="8:8" x14ac:dyDescent="0.25">
      <c r="H641" s="14"/>
    </row>
    <row r="642" spans="8:8" x14ac:dyDescent="0.25">
      <c r="H642" s="14"/>
    </row>
    <row r="643" spans="8:8" x14ac:dyDescent="0.25">
      <c r="H643" s="14"/>
    </row>
    <row r="644" spans="8:8" x14ac:dyDescent="0.25">
      <c r="H644" s="14"/>
    </row>
    <row r="645" spans="8:8" x14ac:dyDescent="0.25">
      <c r="H645" s="14"/>
    </row>
    <row r="646" spans="8:8" x14ac:dyDescent="0.25">
      <c r="H646" s="14"/>
    </row>
    <row r="647" spans="8:8" x14ac:dyDescent="0.25">
      <c r="H647" s="14"/>
    </row>
    <row r="648" spans="8:8" x14ac:dyDescent="0.25">
      <c r="H648" s="14"/>
    </row>
    <row r="649" spans="8:8" x14ac:dyDescent="0.25">
      <c r="H649" s="14"/>
    </row>
    <row r="650" spans="8:8" x14ac:dyDescent="0.25">
      <c r="H650" s="14"/>
    </row>
    <row r="651" spans="8:8" x14ac:dyDescent="0.25">
      <c r="H651" s="14"/>
    </row>
    <row r="652" spans="8:8" x14ac:dyDescent="0.25">
      <c r="H652" s="14"/>
    </row>
    <row r="653" spans="8:8" x14ac:dyDescent="0.25">
      <c r="H653" s="14"/>
    </row>
    <row r="654" spans="8:8" x14ac:dyDescent="0.25">
      <c r="H654" s="14"/>
    </row>
    <row r="655" spans="8:8" x14ac:dyDescent="0.25">
      <c r="H655" s="14"/>
    </row>
    <row r="656" spans="8:8" x14ac:dyDescent="0.25">
      <c r="H656" s="14"/>
    </row>
    <row r="657" spans="8:8" x14ac:dyDescent="0.25">
      <c r="H657" s="14"/>
    </row>
    <row r="658" spans="8:8" x14ac:dyDescent="0.25">
      <c r="H658" s="14"/>
    </row>
    <row r="659" spans="8:8" x14ac:dyDescent="0.25">
      <c r="H659" s="14"/>
    </row>
    <row r="660" spans="8:8" x14ac:dyDescent="0.25">
      <c r="H660" s="14"/>
    </row>
    <row r="661" spans="8:8" x14ac:dyDescent="0.25">
      <c r="H661" s="14"/>
    </row>
    <row r="662" spans="8:8" x14ac:dyDescent="0.25">
      <c r="H662" s="14"/>
    </row>
    <row r="663" spans="8:8" x14ac:dyDescent="0.25">
      <c r="H663" s="14"/>
    </row>
    <row r="664" spans="8:8" x14ac:dyDescent="0.25">
      <c r="H664" s="14"/>
    </row>
    <row r="665" spans="8:8" x14ac:dyDescent="0.25">
      <c r="H665" s="14"/>
    </row>
    <row r="666" spans="8:8" x14ac:dyDescent="0.25">
      <c r="H666" s="14"/>
    </row>
    <row r="667" spans="8:8" x14ac:dyDescent="0.25">
      <c r="H667" s="14"/>
    </row>
    <row r="668" spans="8:8" x14ac:dyDescent="0.25">
      <c r="H668" s="14"/>
    </row>
    <row r="669" spans="8:8" x14ac:dyDescent="0.25">
      <c r="H669" s="14"/>
    </row>
    <row r="670" spans="8:8" x14ac:dyDescent="0.25">
      <c r="H670" s="14"/>
    </row>
    <row r="671" spans="8:8" x14ac:dyDescent="0.25">
      <c r="H671" s="14"/>
    </row>
    <row r="672" spans="8:8" x14ac:dyDescent="0.25">
      <c r="H672" s="14"/>
    </row>
    <row r="673" spans="8:8" x14ac:dyDescent="0.25">
      <c r="H673" s="14"/>
    </row>
    <row r="674" spans="8:8" x14ac:dyDescent="0.25">
      <c r="H674" s="14"/>
    </row>
    <row r="675" spans="8:8" x14ac:dyDescent="0.25">
      <c r="H675" s="14"/>
    </row>
    <row r="676" spans="8:8" x14ac:dyDescent="0.25">
      <c r="H676" s="14"/>
    </row>
    <row r="677" spans="8:8" x14ac:dyDescent="0.25">
      <c r="H677" s="14"/>
    </row>
    <row r="678" spans="8:8" x14ac:dyDescent="0.25">
      <c r="H678" s="14"/>
    </row>
    <row r="679" spans="8:8" x14ac:dyDescent="0.25">
      <c r="H679" s="14"/>
    </row>
    <row r="680" spans="8:8" x14ac:dyDescent="0.25">
      <c r="H680" s="14"/>
    </row>
    <row r="681" spans="8:8" x14ac:dyDescent="0.25">
      <c r="H681" s="14"/>
    </row>
    <row r="682" spans="8:8" x14ac:dyDescent="0.25">
      <c r="H682" s="14"/>
    </row>
    <row r="683" spans="8:8" x14ac:dyDescent="0.25">
      <c r="H683" s="14"/>
    </row>
    <row r="684" spans="8:8" x14ac:dyDescent="0.25">
      <c r="H684" s="14"/>
    </row>
    <row r="685" spans="8:8" x14ac:dyDescent="0.25">
      <c r="H685" s="14"/>
    </row>
    <row r="686" spans="8:8" x14ac:dyDescent="0.25">
      <c r="H686" s="14"/>
    </row>
    <row r="687" spans="8:8" x14ac:dyDescent="0.25">
      <c r="H687" s="14"/>
    </row>
    <row r="688" spans="8:8" x14ac:dyDescent="0.25">
      <c r="H688" s="14"/>
    </row>
    <row r="689" spans="8:8" x14ac:dyDescent="0.25">
      <c r="H689" s="14"/>
    </row>
    <row r="690" spans="8:8" x14ac:dyDescent="0.25">
      <c r="H690" s="14"/>
    </row>
    <row r="691" spans="8:8" x14ac:dyDescent="0.25">
      <c r="H691" s="14"/>
    </row>
    <row r="692" spans="8:8" x14ac:dyDescent="0.25">
      <c r="H692" s="14"/>
    </row>
    <row r="693" spans="8:8" x14ac:dyDescent="0.25">
      <c r="H693" s="14"/>
    </row>
    <row r="694" spans="8:8" x14ac:dyDescent="0.25">
      <c r="H694" s="14"/>
    </row>
    <row r="695" spans="8:8" x14ac:dyDescent="0.25">
      <c r="H695" s="14"/>
    </row>
    <row r="696" spans="8:8" x14ac:dyDescent="0.25">
      <c r="H696" s="14"/>
    </row>
    <row r="697" spans="8:8" x14ac:dyDescent="0.25">
      <c r="H697" s="14"/>
    </row>
    <row r="698" spans="8:8" x14ac:dyDescent="0.25">
      <c r="H698" s="14"/>
    </row>
    <row r="699" spans="8:8" x14ac:dyDescent="0.25">
      <c r="H699" s="14"/>
    </row>
    <row r="700" spans="8:8" x14ac:dyDescent="0.25">
      <c r="H700" s="14"/>
    </row>
    <row r="701" spans="8:8" x14ac:dyDescent="0.25">
      <c r="H701" s="14"/>
    </row>
    <row r="702" spans="8:8" x14ac:dyDescent="0.25">
      <c r="H702" s="14"/>
    </row>
    <row r="703" spans="8:8" x14ac:dyDescent="0.25">
      <c r="H703" s="14"/>
    </row>
    <row r="704" spans="8:8" x14ac:dyDescent="0.25">
      <c r="H704" s="14"/>
    </row>
    <row r="705" spans="8:8" x14ac:dyDescent="0.25">
      <c r="H705" s="14"/>
    </row>
    <row r="706" spans="8:8" x14ac:dyDescent="0.25">
      <c r="H706" s="14"/>
    </row>
    <row r="707" spans="8:8" x14ac:dyDescent="0.25">
      <c r="H707" s="14"/>
    </row>
    <row r="708" spans="8:8" x14ac:dyDescent="0.25">
      <c r="H708" s="14"/>
    </row>
    <row r="709" spans="8:8" x14ac:dyDescent="0.25">
      <c r="H709" s="14"/>
    </row>
    <row r="710" spans="8:8" x14ac:dyDescent="0.25">
      <c r="H710" s="14"/>
    </row>
    <row r="711" spans="8:8" x14ac:dyDescent="0.25">
      <c r="H711" s="14"/>
    </row>
    <row r="712" spans="8:8" x14ac:dyDescent="0.25">
      <c r="H712" s="14"/>
    </row>
    <row r="713" spans="8:8" x14ac:dyDescent="0.25">
      <c r="H713" s="14"/>
    </row>
    <row r="714" spans="8:8" x14ac:dyDescent="0.25">
      <c r="H714" s="14"/>
    </row>
    <row r="715" spans="8:8" x14ac:dyDescent="0.25">
      <c r="H715" s="14"/>
    </row>
    <row r="716" spans="8:8" x14ac:dyDescent="0.25">
      <c r="H716" s="14"/>
    </row>
    <row r="717" spans="8:8" x14ac:dyDescent="0.25">
      <c r="H717" s="14"/>
    </row>
    <row r="718" spans="8:8" x14ac:dyDescent="0.25">
      <c r="H718" s="14"/>
    </row>
    <row r="719" spans="8:8" x14ac:dyDescent="0.25">
      <c r="H719" s="14"/>
    </row>
    <row r="720" spans="8:8" x14ac:dyDescent="0.25">
      <c r="H720" s="14"/>
    </row>
    <row r="721" spans="8:8" x14ac:dyDescent="0.25">
      <c r="H721" s="14"/>
    </row>
    <row r="722" spans="8:8" x14ac:dyDescent="0.25">
      <c r="H722" s="14"/>
    </row>
    <row r="723" spans="8:8" x14ac:dyDescent="0.25">
      <c r="H723" s="14"/>
    </row>
    <row r="724" spans="8:8" x14ac:dyDescent="0.25">
      <c r="H724" s="14"/>
    </row>
    <row r="725" spans="8:8" x14ac:dyDescent="0.25">
      <c r="H725" s="14"/>
    </row>
    <row r="726" spans="8:8" x14ac:dyDescent="0.25">
      <c r="H726" s="14"/>
    </row>
    <row r="727" spans="8:8" x14ac:dyDescent="0.25">
      <c r="H727" s="14"/>
    </row>
    <row r="728" spans="8:8" x14ac:dyDescent="0.25">
      <c r="H728" s="14"/>
    </row>
    <row r="729" spans="8:8" x14ac:dyDescent="0.25">
      <c r="H729" s="14"/>
    </row>
    <row r="730" spans="8:8" x14ac:dyDescent="0.25">
      <c r="H730" s="14"/>
    </row>
    <row r="731" spans="8:8" x14ac:dyDescent="0.25">
      <c r="H731" s="14"/>
    </row>
    <row r="732" spans="8:8" x14ac:dyDescent="0.25">
      <c r="H732" s="14"/>
    </row>
    <row r="733" spans="8:8" x14ac:dyDescent="0.25">
      <c r="H733" s="14"/>
    </row>
    <row r="734" spans="8:8" x14ac:dyDescent="0.25">
      <c r="H734" s="14"/>
    </row>
    <row r="735" spans="8:8" x14ac:dyDescent="0.25">
      <c r="H735" s="14"/>
    </row>
    <row r="736" spans="8:8" x14ac:dyDescent="0.25">
      <c r="H736" s="14"/>
    </row>
    <row r="737" spans="8:8" x14ac:dyDescent="0.25">
      <c r="H737" s="14"/>
    </row>
    <row r="738" spans="8:8" x14ac:dyDescent="0.25">
      <c r="H738" s="14"/>
    </row>
    <row r="739" spans="8:8" x14ac:dyDescent="0.25">
      <c r="H739" s="14"/>
    </row>
    <row r="740" spans="8:8" x14ac:dyDescent="0.25">
      <c r="H740" s="14"/>
    </row>
    <row r="741" spans="8:8" x14ac:dyDescent="0.25">
      <c r="H741" s="14"/>
    </row>
    <row r="742" spans="8:8" x14ac:dyDescent="0.25">
      <c r="H742" s="14"/>
    </row>
    <row r="743" spans="8:8" x14ac:dyDescent="0.25">
      <c r="H743" s="14"/>
    </row>
    <row r="744" spans="8:8" x14ac:dyDescent="0.25">
      <c r="H744" s="14"/>
    </row>
    <row r="745" spans="8:8" x14ac:dyDescent="0.25">
      <c r="H745" s="14"/>
    </row>
    <row r="746" spans="8:8" x14ac:dyDescent="0.25">
      <c r="H746" s="14"/>
    </row>
    <row r="747" spans="8:8" x14ac:dyDescent="0.25">
      <c r="H747" s="14"/>
    </row>
    <row r="748" spans="8:8" x14ac:dyDescent="0.25">
      <c r="H748" s="14"/>
    </row>
    <row r="749" spans="8:8" x14ac:dyDescent="0.25">
      <c r="H749" s="14"/>
    </row>
    <row r="750" spans="8:8" x14ac:dyDescent="0.25">
      <c r="H750" s="14"/>
    </row>
    <row r="751" spans="8:8" x14ac:dyDescent="0.25">
      <c r="H751" s="14"/>
    </row>
    <row r="752" spans="8:8" x14ac:dyDescent="0.25">
      <c r="H752" s="14"/>
    </row>
    <row r="753" spans="8:8" x14ac:dyDescent="0.25">
      <c r="H753" s="14"/>
    </row>
    <row r="754" spans="8:8" x14ac:dyDescent="0.25">
      <c r="H754" s="14"/>
    </row>
    <row r="755" spans="8:8" x14ac:dyDescent="0.25">
      <c r="H755" s="14"/>
    </row>
    <row r="756" spans="8:8" x14ac:dyDescent="0.25">
      <c r="H756" s="14"/>
    </row>
    <row r="757" spans="8:8" x14ac:dyDescent="0.25">
      <c r="H757" s="14"/>
    </row>
    <row r="758" spans="8:8" x14ac:dyDescent="0.25">
      <c r="H758" s="14"/>
    </row>
    <row r="759" spans="8:8" x14ac:dyDescent="0.25">
      <c r="H759" s="14"/>
    </row>
    <row r="760" spans="8:8" x14ac:dyDescent="0.25">
      <c r="H760" s="14"/>
    </row>
    <row r="761" spans="8:8" x14ac:dyDescent="0.25">
      <c r="H761" s="14"/>
    </row>
    <row r="762" spans="8:8" x14ac:dyDescent="0.25">
      <c r="H762" s="14"/>
    </row>
    <row r="763" spans="8:8" x14ac:dyDescent="0.25">
      <c r="H763" s="14"/>
    </row>
    <row r="764" spans="8:8" x14ac:dyDescent="0.25">
      <c r="H764" s="14"/>
    </row>
    <row r="765" spans="8:8" x14ac:dyDescent="0.25">
      <c r="H765" s="14"/>
    </row>
    <row r="766" spans="8:8" x14ac:dyDescent="0.25">
      <c r="H766" s="14"/>
    </row>
    <row r="767" spans="8:8" x14ac:dyDescent="0.25">
      <c r="H767" s="14"/>
    </row>
    <row r="768" spans="8:8" x14ac:dyDescent="0.25">
      <c r="H768" s="14"/>
    </row>
    <row r="769" spans="8:8" x14ac:dyDescent="0.25">
      <c r="H769" s="14"/>
    </row>
    <row r="770" spans="8:8" x14ac:dyDescent="0.25">
      <c r="H770" s="14"/>
    </row>
    <row r="771" spans="8:8" x14ac:dyDescent="0.25">
      <c r="H771" s="14"/>
    </row>
    <row r="772" spans="8:8" x14ac:dyDescent="0.25">
      <c r="H772" s="14"/>
    </row>
    <row r="773" spans="8:8" x14ac:dyDescent="0.25">
      <c r="H773" s="14"/>
    </row>
    <row r="774" spans="8:8" x14ac:dyDescent="0.25">
      <c r="H774" s="14"/>
    </row>
    <row r="775" spans="8:8" x14ac:dyDescent="0.25">
      <c r="H775" s="14"/>
    </row>
    <row r="776" spans="8:8" x14ac:dyDescent="0.25">
      <c r="H776" s="14"/>
    </row>
    <row r="777" spans="8:8" x14ac:dyDescent="0.25">
      <c r="H777" s="14"/>
    </row>
    <row r="778" spans="8:8" x14ac:dyDescent="0.25">
      <c r="H778" s="14"/>
    </row>
    <row r="779" spans="8:8" x14ac:dyDescent="0.25">
      <c r="H779" s="14"/>
    </row>
    <row r="780" spans="8:8" x14ac:dyDescent="0.25">
      <c r="H780" s="14"/>
    </row>
    <row r="781" spans="8:8" x14ac:dyDescent="0.25">
      <c r="H781" s="14"/>
    </row>
    <row r="782" spans="8:8" x14ac:dyDescent="0.25">
      <c r="H782" s="14"/>
    </row>
    <row r="783" spans="8:8" x14ac:dyDescent="0.25">
      <c r="H783" s="14"/>
    </row>
    <row r="784" spans="8:8" x14ac:dyDescent="0.25">
      <c r="H784" s="14"/>
    </row>
    <row r="785" spans="8:8" x14ac:dyDescent="0.25">
      <c r="H785" s="14"/>
    </row>
    <row r="786" spans="8:8" x14ac:dyDescent="0.25">
      <c r="H786" s="14"/>
    </row>
    <row r="787" spans="8:8" x14ac:dyDescent="0.25">
      <c r="H787" s="14"/>
    </row>
    <row r="788" spans="8:8" x14ac:dyDescent="0.25">
      <c r="H788" s="14"/>
    </row>
    <row r="789" spans="8:8" x14ac:dyDescent="0.25">
      <c r="H789" s="14"/>
    </row>
    <row r="790" spans="8:8" x14ac:dyDescent="0.25">
      <c r="H790" s="14"/>
    </row>
    <row r="791" spans="8:8" x14ac:dyDescent="0.25">
      <c r="H791" s="14"/>
    </row>
    <row r="792" spans="8:8" x14ac:dyDescent="0.25">
      <c r="H792" s="14"/>
    </row>
    <row r="793" spans="8:8" x14ac:dyDescent="0.25">
      <c r="H793" s="14"/>
    </row>
    <row r="794" spans="8:8" x14ac:dyDescent="0.25">
      <c r="H794" s="14"/>
    </row>
    <row r="795" spans="8:8" x14ac:dyDescent="0.25">
      <c r="H795" s="14"/>
    </row>
    <row r="796" spans="8:8" x14ac:dyDescent="0.25">
      <c r="H796" s="14"/>
    </row>
    <row r="797" spans="8:8" x14ac:dyDescent="0.25">
      <c r="H797" s="14"/>
    </row>
    <row r="798" spans="8:8" x14ac:dyDescent="0.25">
      <c r="H798" s="14"/>
    </row>
    <row r="799" spans="8:8" x14ac:dyDescent="0.25">
      <c r="H799" s="14"/>
    </row>
    <row r="800" spans="8:8" x14ac:dyDescent="0.25">
      <c r="H800" s="14"/>
    </row>
    <row r="801" spans="8:8" x14ac:dyDescent="0.25">
      <c r="H801" s="14"/>
    </row>
    <row r="802" spans="8:8" x14ac:dyDescent="0.25">
      <c r="H802" s="14"/>
    </row>
    <row r="803" spans="8:8" x14ac:dyDescent="0.25">
      <c r="H803" s="14"/>
    </row>
    <row r="804" spans="8:8" x14ac:dyDescent="0.25">
      <c r="H804" s="14"/>
    </row>
    <row r="805" spans="8:8" x14ac:dyDescent="0.25">
      <c r="H805" s="14"/>
    </row>
    <row r="806" spans="8:8" x14ac:dyDescent="0.25">
      <c r="H806" s="14"/>
    </row>
    <row r="807" spans="8:8" x14ac:dyDescent="0.25">
      <c r="H807" s="14"/>
    </row>
    <row r="808" spans="8:8" x14ac:dyDescent="0.25">
      <c r="H808" s="14"/>
    </row>
    <row r="809" spans="8:8" x14ac:dyDescent="0.25">
      <c r="H809" s="14"/>
    </row>
    <row r="810" spans="8:8" x14ac:dyDescent="0.25">
      <c r="H810" s="14"/>
    </row>
    <row r="811" spans="8:8" x14ac:dyDescent="0.25">
      <c r="H811" s="14"/>
    </row>
    <row r="812" spans="8:8" x14ac:dyDescent="0.25">
      <c r="H812" s="14"/>
    </row>
    <row r="813" spans="8:8" x14ac:dyDescent="0.25">
      <c r="H813" s="14"/>
    </row>
    <row r="814" spans="8:8" x14ac:dyDescent="0.25">
      <c r="H814" s="14"/>
    </row>
    <row r="815" spans="8:8" x14ac:dyDescent="0.25">
      <c r="H815" s="14"/>
    </row>
    <row r="816" spans="8:8" x14ac:dyDescent="0.25">
      <c r="H816" s="14"/>
    </row>
    <row r="817" spans="8:8" x14ac:dyDescent="0.25">
      <c r="H817" s="14"/>
    </row>
    <row r="818" spans="8:8" x14ac:dyDescent="0.25">
      <c r="H818" s="14"/>
    </row>
    <row r="819" spans="8:8" x14ac:dyDescent="0.25">
      <c r="H819" s="14"/>
    </row>
    <row r="820" spans="8:8" x14ac:dyDescent="0.25">
      <c r="H820" s="14"/>
    </row>
    <row r="821" spans="8:8" x14ac:dyDescent="0.25">
      <c r="H821" s="14"/>
    </row>
    <row r="822" spans="8:8" x14ac:dyDescent="0.25">
      <c r="H822" s="14"/>
    </row>
    <row r="823" spans="8:8" x14ac:dyDescent="0.25">
      <c r="H823" s="14"/>
    </row>
    <row r="824" spans="8:8" x14ac:dyDescent="0.25">
      <c r="H824" s="14"/>
    </row>
    <row r="825" spans="8:8" x14ac:dyDescent="0.25">
      <c r="H825" s="14"/>
    </row>
    <row r="826" spans="8:8" x14ac:dyDescent="0.25">
      <c r="H826" s="14"/>
    </row>
    <row r="827" spans="8:8" x14ac:dyDescent="0.25">
      <c r="H827" s="14"/>
    </row>
    <row r="828" spans="8:8" x14ac:dyDescent="0.25">
      <c r="H828" s="14"/>
    </row>
    <row r="829" spans="8:8" x14ac:dyDescent="0.25">
      <c r="H829" s="14"/>
    </row>
    <row r="830" spans="8:8" x14ac:dyDescent="0.25">
      <c r="H830" s="14"/>
    </row>
    <row r="831" spans="8:8" x14ac:dyDescent="0.25">
      <c r="H831" s="14"/>
    </row>
    <row r="832" spans="8:8" x14ac:dyDescent="0.25">
      <c r="H832" s="14"/>
    </row>
    <row r="833" spans="8:8" x14ac:dyDescent="0.25">
      <c r="H833" s="14"/>
    </row>
    <row r="834" spans="8:8" x14ac:dyDescent="0.25">
      <c r="H834" s="14"/>
    </row>
    <row r="835" spans="8:8" x14ac:dyDescent="0.25">
      <c r="H835" s="14"/>
    </row>
    <row r="836" spans="8:8" x14ac:dyDescent="0.25">
      <c r="H836" s="14"/>
    </row>
    <row r="837" spans="8:8" x14ac:dyDescent="0.25">
      <c r="H837" s="14"/>
    </row>
    <row r="838" spans="8:8" x14ac:dyDescent="0.25">
      <c r="H838" s="14"/>
    </row>
    <row r="839" spans="8:8" x14ac:dyDescent="0.25">
      <c r="H839" s="14"/>
    </row>
    <row r="840" spans="8:8" x14ac:dyDescent="0.25">
      <c r="H840" s="14"/>
    </row>
    <row r="841" spans="8:8" x14ac:dyDescent="0.25">
      <c r="H841" s="14"/>
    </row>
    <row r="842" spans="8:8" x14ac:dyDescent="0.25">
      <c r="H842" s="14"/>
    </row>
    <row r="843" spans="8:8" x14ac:dyDescent="0.25">
      <c r="H843" s="14"/>
    </row>
    <row r="844" spans="8:8" x14ac:dyDescent="0.25">
      <c r="H844" s="14"/>
    </row>
    <row r="845" spans="8:8" x14ac:dyDescent="0.25">
      <c r="H845" s="14"/>
    </row>
    <row r="846" spans="8:8" x14ac:dyDescent="0.25">
      <c r="H846" s="14"/>
    </row>
    <row r="847" spans="8:8" x14ac:dyDescent="0.25">
      <c r="H847" s="14"/>
    </row>
    <row r="848" spans="8:8" x14ac:dyDescent="0.25">
      <c r="H848" s="14"/>
    </row>
    <row r="849" spans="8:8" x14ac:dyDescent="0.25">
      <c r="H849" s="14"/>
    </row>
    <row r="850" spans="8:8" x14ac:dyDescent="0.25">
      <c r="H850" s="14"/>
    </row>
    <row r="851" spans="8:8" x14ac:dyDescent="0.25">
      <c r="H851" s="14"/>
    </row>
    <row r="852" spans="8:8" x14ac:dyDescent="0.25">
      <c r="H852" s="14"/>
    </row>
    <row r="853" spans="8:8" x14ac:dyDescent="0.25">
      <c r="H853" s="14"/>
    </row>
    <row r="854" spans="8:8" x14ac:dyDescent="0.25">
      <c r="H854" s="14"/>
    </row>
    <row r="855" spans="8:8" x14ac:dyDescent="0.25">
      <c r="H855" s="14"/>
    </row>
    <row r="856" spans="8:8" x14ac:dyDescent="0.25">
      <c r="H856" s="14"/>
    </row>
    <row r="857" spans="8:8" x14ac:dyDescent="0.25">
      <c r="H857" s="14"/>
    </row>
    <row r="858" spans="8:8" x14ac:dyDescent="0.25">
      <c r="H858" s="14"/>
    </row>
    <row r="859" spans="8:8" x14ac:dyDescent="0.25">
      <c r="H859" s="14"/>
    </row>
    <row r="860" spans="8:8" x14ac:dyDescent="0.25">
      <c r="H860" s="14"/>
    </row>
    <row r="861" spans="8:8" x14ac:dyDescent="0.25">
      <c r="H861" s="14"/>
    </row>
    <row r="862" spans="8:8" x14ac:dyDescent="0.25">
      <c r="H862" s="14"/>
    </row>
    <row r="863" spans="8:8" x14ac:dyDescent="0.25">
      <c r="H863" s="14"/>
    </row>
    <row r="864" spans="8:8" x14ac:dyDescent="0.25">
      <c r="H864" s="14"/>
    </row>
    <row r="865" spans="8:8" x14ac:dyDescent="0.25">
      <c r="H865" s="14"/>
    </row>
    <row r="866" spans="8:8" x14ac:dyDescent="0.25">
      <c r="H866" s="14"/>
    </row>
    <row r="867" spans="8:8" x14ac:dyDescent="0.25">
      <c r="H867" s="14"/>
    </row>
    <row r="868" spans="8:8" x14ac:dyDescent="0.25">
      <c r="H868" s="14"/>
    </row>
    <row r="869" spans="8:8" x14ac:dyDescent="0.25">
      <c r="H869" s="14"/>
    </row>
    <row r="870" spans="8:8" x14ac:dyDescent="0.25">
      <c r="H870" s="14"/>
    </row>
    <row r="871" spans="8:8" x14ac:dyDescent="0.25">
      <c r="H871" s="14"/>
    </row>
    <row r="872" spans="8:8" x14ac:dyDescent="0.25">
      <c r="H872" s="14"/>
    </row>
    <row r="873" spans="8:8" x14ac:dyDescent="0.25">
      <c r="H873" s="14"/>
    </row>
    <row r="874" spans="8:8" x14ac:dyDescent="0.25">
      <c r="H874" s="14"/>
    </row>
    <row r="875" spans="8:8" x14ac:dyDescent="0.25">
      <c r="H875" s="14"/>
    </row>
    <row r="876" spans="8:8" x14ac:dyDescent="0.25">
      <c r="H876" s="14"/>
    </row>
    <row r="877" spans="8:8" x14ac:dyDescent="0.25">
      <c r="H877" s="14"/>
    </row>
    <row r="878" spans="8:8" x14ac:dyDescent="0.25">
      <c r="H878" s="14"/>
    </row>
    <row r="879" spans="8:8" x14ac:dyDescent="0.25">
      <c r="H879" s="14"/>
    </row>
    <row r="880" spans="8:8" x14ac:dyDescent="0.25">
      <c r="H880" s="14"/>
    </row>
    <row r="881" spans="8:8" x14ac:dyDescent="0.25">
      <c r="H881" s="14"/>
    </row>
    <row r="882" spans="8:8" x14ac:dyDescent="0.25">
      <c r="H882" s="14"/>
    </row>
    <row r="883" spans="8:8" x14ac:dyDescent="0.25">
      <c r="H883" s="14"/>
    </row>
    <row r="884" spans="8:8" x14ac:dyDescent="0.25">
      <c r="H884" s="14"/>
    </row>
    <row r="885" spans="8:8" x14ac:dyDescent="0.25">
      <c r="H885" s="14"/>
    </row>
    <row r="886" spans="8:8" x14ac:dyDescent="0.25">
      <c r="H886" s="14"/>
    </row>
    <row r="887" spans="8:8" x14ac:dyDescent="0.25">
      <c r="H887" s="14"/>
    </row>
    <row r="888" spans="8:8" x14ac:dyDescent="0.25">
      <c r="H888" s="14"/>
    </row>
    <row r="889" spans="8:8" x14ac:dyDescent="0.25">
      <c r="H889" s="14"/>
    </row>
    <row r="890" spans="8:8" x14ac:dyDescent="0.25">
      <c r="H890" s="14"/>
    </row>
    <row r="891" spans="8:8" x14ac:dyDescent="0.25">
      <c r="H891" s="14"/>
    </row>
    <row r="892" spans="8:8" x14ac:dyDescent="0.25">
      <c r="H892" s="14"/>
    </row>
    <row r="893" spans="8:8" x14ac:dyDescent="0.25">
      <c r="H893" s="14"/>
    </row>
    <row r="894" spans="8:8" x14ac:dyDescent="0.25">
      <c r="H894" s="14"/>
    </row>
    <row r="895" spans="8:8" x14ac:dyDescent="0.25">
      <c r="H895" s="14"/>
    </row>
    <row r="896" spans="8:8" x14ac:dyDescent="0.25">
      <c r="H896" s="14"/>
    </row>
    <row r="897" spans="8:8" x14ac:dyDescent="0.25">
      <c r="H897" s="14"/>
    </row>
    <row r="898" spans="8:8" x14ac:dyDescent="0.25">
      <c r="H898" s="14"/>
    </row>
    <row r="899" spans="8:8" x14ac:dyDescent="0.25">
      <c r="H899" s="14"/>
    </row>
    <row r="900" spans="8:8" x14ac:dyDescent="0.25">
      <c r="H900" s="14"/>
    </row>
    <row r="901" spans="8:8" x14ac:dyDescent="0.25">
      <c r="H901" s="14"/>
    </row>
    <row r="902" spans="8:8" x14ac:dyDescent="0.25">
      <c r="H902" s="14"/>
    </row>
    <row r="903" spans="8:8" x14ac:dyDescent="0.25">
      <c r="H903" s="14"/>
    </row>
    <row r="904" spans="8:8" x14ac:dyDescent="0.25">
      <c r="H904" s="14"/>
    </row>
    <row r="905" spans="8:8" x14ac:dyDescent="0.25">
      <c r="H905" s="14"/>
    </row>
    <row r="906" spans="8:8" x14ac:dyDescent="0.25">
      <c r="H906" s="14"/>
    </row>
    <row r="907" spans="8:8" x14ac:dyDescent="0.25">
      <c r="H907" s="14"/>
    </row>
    <row r="908" spans="8:8" x14ac:dyDescent="0.25">
      <c r="H908" s="14"/>
    </row>
    <row r="909" spans="8:8" x14ac:dyDescent="0.25">
      <c r="H909" s="14"/>
    </row>
    <row r="910" spans="8:8" x14ac:dyDescent="0.25">
      <c r="H910" s="14"/>
    </row>
    <row r="911" spans="8:8" x14ac:dyDescent="0.25">
      <c r="H911" s="14"/>
    </row>
    <row r="912" spans="8:8" x14ac:dyDescent="0.25">
      <c r="H912" s="14"/>
    </row>
    <row r="913" spans="8:8" x14ac:dyDescent="0.25">
      <c r="H913" s="14"/>
    </row>
    <row r="914" spans="8:8" x14ac:dyDescent="0.25">
      <c r="H914" s="14"/>
    </row>
    <row r="915" spans="8:8" x14ac:dyDescent="0.25">
      <c r="H915" s="14"/>
    </row>
    <row r="916" spans="8:8" x14ac:dyDescent="0.25">
      <c r="H916" s="14"/>
    </row>
    <row r="917" spans="8:8" x14ac:dyDescent="0.25">
      <c r="H917" s="14"/>
    </row>
    <row r="918" spans="8:8" x14ac:dyDescent="0.25">
      <c r="H918" s="14"/>
    </row>
    <row r="919" spans="8:8" x14ac:dyDescent="0.25">
      <c r="H919" s="14"/>
    </row>
    <row r="920" spans="8:8" x14ac:dyDescent="0.25">
      <c r="H920" s="14"/>
    </row>
    <row r="921" spans="8:8" x14ac:dyDescent="0.25">
      <c r="H921" s="14"/>
    </row>
    <row r="922" spans="8:8" x14ac:dyDescent="0.25">
      <c r="H922" s="14"/>
    </row>
    <row r="923" spans="8:8" x14ac:dyDescent="0.25">
      <c r="H923" s="14"/>
    </row>
    <row r="924" spans="8:8" x14ac:dyDescent="0.25">
      <c r="H924" s="14"/>
    </row>
    <row r="925" spans="8:8" x14ac:dyDescent="0.25">
      <c r="H925" s="14"/>
    </row>
    <row r="926" spans="8:8" x14ac:dyDescent="0.25">
      <c r="H926" s="14"/>
    </row>
    <row r="927" spans="8:8" x14ac:dyDescent="0.25">
      <c r="H927" s="14"/>
    </row>
    <row r="928" spans="8:8" x14ac:dyDescent="0.25">
      <c r="H928" s="14"/>
    </row>
    <row r="929" spans="8:8" x14ac:dyDescent="0.25">
      <c r="H929" s="14"/>
    </row>
    <row r="930" spans="8:8" x14ac:dyDescent="0.25">
      <c r="H930" s="14"/>
    </row>
    <row r="931" spans="8:8" x14ac:dyDescent="0.25">
      <c r="H931" s="14"/>
    </row>
    <row r="932" spans="8:8" x14ac:dyDescent="0.25">
      <c r="H932" s="14"/>
    </row>
    <row r="933" spans="8:8" x14ac:dyDescent="0.25">
      <c r="H933" s="14"/>
    </row>
    <row r="934" spans="8:8" x14ac:dyDescent="0.25">
      <c r="H934" s="14"/>
    </row>
    <row r="935" spans="8:8" x14ac:dyDescent="0.25">
      <c r="H935" s="14"/>
    </row>
    <row r="936" spans="8:8" x14ac:dyDescent="0.25">
      <c r="H936" s="14"/>
    </row>
    <row r="937" spans="8:8" x14ac:dyDescent="0.25">
      <c r="H937" s="14"/>
    </row>
    <row r="938" spans="8:8" x14ac:dyDescent="0.25">
      <c r="H938" s="14"/>
    </row>
    <row r="939" spans="8:8" x14ac:dyDescent="0.25">
      <c r="H939" s="14"/>
    </row>
    <row r="940" spans="8:8" x14ac:dyDescent="0.25">
      <c r="H940" s="14"/>
    </row>
    <row r="941" spans="8:8" x14ac:dyDescent="0.25">
      <c r="H941" s="14"/>
    </row>
    <row r="942" spans="8:8" x14ac:dyDescent="0.25">
      <c r="H942" s="14"/>
    </row>
    <row r="943" spans="8:8" x14ac:dyDescent="0.25">
      <c r="H943" s="14"/>
    </row>
    <row r="944" spans="8:8" x14ac:dyDescent="0.25">
      <c r="H944" s="14"/>
    </row>
    <row r="945" spans="8:8" x14ac:dyDescent="0.25">
      <c r="H945" s="14"/>
    </row>
    <row r="946" spans="8:8" x14ac:dyDescent="0.25">
      <c r="H946" s="14"/>
    </row>
    <row r="947" spans="8:8" x14ac:dyDescent="0.25">
      <c r="H947" s="14"/>
    </row>
    <row r="948" spans="8:8" x14ac:dyDescent="0.25">
      <c r="H948" s="14"/>
    </row>
    <row r="949" spans="8:8" x14ac:dyDescent="0.25">
      <c r="H949" s="14"/>
    </row>
    <row r="950" spans="8:8" x14ac:dyDescent="0.25">
      <c r="H950" s="14"/>
    </row>
    <row r="951" spans="8:8" x14ac:dyDescent="0.25">
      <c r="H951" s="14"/>
    </row>
    <row r="952" spans="8:8" x14ac:dyDescent="0.25">
      <c r="H952" s="14"/>
    </row>
    <row r="953" spans="8:8" x14ac:dyDescent="0.25">
      <c r="H953" s="14"/>
    </row>
    <row r="954" spans="8:8" x14ac:dyDescent="0.25">
      <c r="H954" s="14"/>
    </row>
    <row r="955" spans="8:8" x14ac:dyDescent="0.25">
      <c r="H955" s="14"/>
    </row>
    <row r="956" spans="8:8" x14ac:dyDescent="0.25">
      <c r="H956" s="14"/>
    </row>
    <row r="957" spans="8:8" x14ac:dyDescent="0.25">
      <c r="H957" s="14"/>
    </row>
    <row r="958" spans="8:8" x14ac:dyDescent="0.25">
      <c r="H958" s="14"/>
    </row>
    <row r="959" spans="8:8" x14ac:dyDescent="0.25">
      <c r="H959" s="14"/>
    </row>
    <row r="960" spans="8:8" x14ac:dyDescent="0.25">
      <c r="H960" s="14"/>
    </row>
    <row r="961" spans="8:8" x14ac:dyDescent="0.25">
      <c r="H961" s="14"/>
    </row>
    <row r="962" spans="8:8" x14ac:dyDescent="0.25">
      <c r="H962" s="14"/>
    </row>
    <row r="963" spans="8:8" x14ac:dyDescent="0.25">
      <c r="H963" s="14"/>
    </row>
    <row r="964" spans="8:8" x14ac:dyDescent="0.25">
      <c r="H964" s="14"/>
    </row>
    <row r="965" spans="8:8" x14ac:dyDescent="0.25">
      <c r="H965" s="14"/>
    </row>
    <row r="966" spans="8:8" x14ac:dyDescent="0.25">
      <c r="H966" s="14"/>
    </row>
    <row r="967" spans="8:8" x14ac:dyDescent="0.25">
      <c r="H967" s="14"/>
    </row>
    <row r="968" spans="8:8" x14ac:dyDescent="0.25">
      <c r="H968" s="14"/>
    </row>
    <row r="969" spans="8:8" x14ac:dyDescent="0.25">
      <c r="H969" s="14"/>
    </row>
    <row r="970" spans="8:8" x14ac:dyDescent="0.25">
      <c r="H970" s="14"/>
    </row>
    <row r="971" spans="8:8" x14ac:dyDescent="0.25">
      <c r="H971" s="14"/>
    </row>
    <row r="972" spans="8:8" x14ac:dyDescent="0.25">
      <c r="H972" s="14"/>
    </row>
    <row r="973" spans="8:8" x14ac:dyDescent="0.25">
      <c r="H973" s="14"/>
    </row>
    <row r="974" spans="8:8" x14ac:dyDescent="0.25">
      <c r="H974" s="14"/>
    </row>
    <row r="975" spans="8:8" x14ac:dyDescent="0.25">
      <c r="H975" s="14"/>
    </row>
    <row r="976" spans="8:8" x14ac:dyDescent="0.25">
      <c r="H976" s="14"/>
    </row>
    <row r="977" spans="8:8" x14ac:dyDescent="0.25">
      <c r="H977" s="14"/>
    </row>
    <row r="978" spans="8:8" x14ac:dyDescent="0.25">
      <c r="H978" s="14"/>
    </row>
    <row r="979" spans="8:8" x14ac:dyDescent="0.25">
      <c r="H979" s="14"/>
    </row>
    <row r="980" spans="8:8" x14ac:dyDescent="0.25">
      <c r="H980" s="14"/>
    </row>
    <row r="981" spans="8:8" x14ac:dyDescent="0.25">
      <c r="H981" s="14"/>
    </row>
    <row r="982" spans="8:8" x14ac:dyDescent="0.25">
      <c r="H982" s="14"/>
    </row>
    <row r="983" spans="8:8" x14ac:dyDescent="0.25">
      <c r="H983" s="14"/>
    </row>
    <row r="984" spans="8:8" x14ac:dyDescent="0.25">
      <c r="H984" s="14"/>
    </row>
    <row r="985" spans="8:8" x14ac:dyDescent="0.25">
      <c r="H985" s="14"/>
    </row>
    <row r="986" spans="8:8" x14ac:dyDescent="0.25">
      <c r="H986" s="14"/>
    </row>
    <row r="987" spans="8:8" x14ac:dyDescent="0.25">
      <c r="H987" s="14"/>
    </row>
    <row r="988" spans="8:8" x14ac:dyDescent="0.25">
      <c r="H988" s="14"/>
    </row>
    <row r="989" spans="8:8" x14ac:dyDescent="0.25">
      <c r="H989" s="14"/>
    </row>
    <row r="990" spans="8:8" x14ac:dyDescent="0.25">
      <c r="H990" s="14"/>
    </row>
    <row r="991" spans="8:8" x14ac:dyDescent="0.25">
      <c r="H991" s="14"/>
    </row>
    <row r="992" spans="8:8" x14ac:dyDescent="0.25">
      <c r="H992" s="14"/>
    </row>
    <row r="993" spans="8:8" x14ac:dyDescent="0.25">
      <c r="H993" s="14"/>
    </row>
    <row r="994" spans="8:8" x14ac:dyDescent="0.25">
      <c r="H994" s="14"/>
    </row>
    <row r="995" spans="8:8" x14ac:dyDescent="0.25">
      <c r="H995" s="14"/>
    </row>
    <row r="996" spans="8:8" x14ac:dyDescent="0.25">
      <c r="H996" s="14"/>
    </row>
    <row r="997" spans="8:8" x14ac:dyDescent="0.25">
      <c r="H997" s="14"/>
    </row>
    <row r="998" spans="8:8" x14ac:dyDescent="0.25">
      <c r="H998" s="14"/>
    </row>
    <row r="999" spans="8:8" x14ac:dyDescent="0.25">
      <c r="H999" s="14"/>
    </row>
    <row r="1000" spans="8:8" x14ac:dyDescent="0.25">
      <c r="H1000" s="14"/>
    </row>
    <row r="1001" spans="8:8" x14ac:dyDescent="0.25">
      <c r="H1001" s="14"/>
    </row>
    <row r="1002" spans="8:8" x14ac:dyDescent="0.25">
      <c r="H1002" s="14"/>
    </row>
    <row r="1003" spans="8:8" x14ac:dyDescent="0.25">
      <c r="H1003" s="14"/>
    </row>
    <row r="1004" spans="8:8" x14ac:dyDescent="0.25">
      <c r="H1004" s="14"/>
    </row>
    <row r="1005" spans="8:8" x14ac:dyDescent="0.25">
      <c r="H1005" s="14"/>
    </row>
    <row r="1006" spans="8:8" x14ac:dyDescent="0.25">
      <c r="H1006" s="14"/>
    </row>
    <row r="1007" spans="8:8" x14ac:dyDescent="0.25">
      <c r="H1007" s="14"/>
    </row>
    <row r="1008" spans="8:8" x14ac:dyDescent="0.25">
      <c r="H1008" s="14"/>
    </row>
    <row r="1009" spans="8:8" x14ac:dyDescent="0.25">
      <c r="H1009" s="14"/>
    </row>
    <row r="1010" spans="8:8" x14ac:dyDescent="0.25">
      <c r="H1010" s="14"/>
    </row>
    <row r="1011" spans="8:8" x14ac:dyDescent="0.25">
      <c r="H1011" s="14"/>
    </row>
    <row r="1012" spans="8:8" x14ac:dyDescent="0.25">
      <c r="H1012" s="14"/>
    </row>
    <row r="1013" spans="8:8" x14ac:dyDescent="0.25">
      <c r="H1013" s="14"/>
    </row>
    <row r="1014" spans="8:8" x14ac:dyDescent="0.25">
      <c r="H1014" s="14"/>
    </row>
    <row r="1015" spans="8:8" x14ac:dyDescent="0.25">
      <c r="H1015" s="14"/>
    </row>
    <row r="1016" spans="8:8" x14ac:dyDescent="0.25">
      <c r="H1016" s="14"/>
    </row>
    <row r="1017" spans="8:8" x14ac:dyDescent="0.25">
      <c r="H1017" s="14"/>
    </row>
    <row r="1018" spans="8:8" x14ac:dyDescent="0.25">
      <c r="H1018" s="14"/>
    </row>
    <row r="1019" spans="8:8" x14ac:dyDescent="0.25">
      <c r="H1019" s="14"/>
    </row>
    <row r="1020" spans="8:8" x14ac:dyDescent="0.25">
      <c r="H1020" s="14"/>
    </row>
    <row r="1021" spans="8:8" x14ac:dyDescent="0.25">
      <c r="H1021" s="14"/>
    </row>
    <row r="1022" spans="8:8" x14ac:dyDescent="0.25">
      <c r="H1022" s="14"/>
    </row>
    <row r="1023" spans="8:8" x14ac:dyDescent="0.25">
      <c r="H1023" s="14"/>
    </row>
    <row r="1024" spans="8:8" x14ac:dyDescent="0.25">
      <c r="H1024" s="14"/>
    </row>
    <row r="1025" spans="8:8" x14ac:dyDescent="0.25">
      <c r="H1025" s="14"/>
    </row>
    <row r="1026" spans="8:8" x14ac:dyDescent="0.25">
      <c r="H1026" s="14"/>
    </row>
    <row r="1027" spans="8:8" x14ac:dyDescent="0.25">
      <c r="H1027" s="14"/>
    </row>
    <row r="1028" spans="8:8" x14ac:dyDescent="0.25">
      <c r="H1028" s="14"/>
    </row>
    <row r="1029" spans="8:8" x14ac:dyDescent="0.25">
      <c r="H1029" s="14"/>
    </row>
    <row r="1030" spans="8:8" x14ac:dyDescent="0.25">
      <c r="H1030" s="14"/>
    </row>
    <row r="1031" spans="8:8" x14ac:dyDescent="0.25">
      <c r="H1031" s="14"/>
    </row>
    <row r="1032" spans="8:8" x14ac:dyDescent="0.25">
      <c r="H1032" s="14"/>
    </row>
    <row r="1033" spans="8:8" x14ac:dyDescent="0.25">
      <c r="H1033" s="14"/>
    </row>
    <row r="1034" spans="8:8" x14ac:dyDescent="0.25">
      <c r="H1034" s="14"/>
    </row>
    <row r="1035" spans="8:8" x14ac:dyDescent="0.25">
      <c r="H1035" s="14"/>
    </row>
    <row r="1036" spans="8:8" x14ac:dyDescent="0.25">
      <c r="H1036" s="14"/>
    </row>
    <row r="1037" spans="8:8" x14ac:dyDescent="0.25">
      <c r="H1037" s="14"/>
    </row>
    <row r="1038" spans="8:8" x14ac:dyDescent="0.25">
      <c r="H1038" s="14"/>
    </row>
    <row r="1039" spans="8:8" x14ac:dyDescent="0.25">
      <c r="H1039" s="14"/>
    </row>
    <row r="1040" spans="8:8" x14ac:dyDescent="0.25">
      <c r="H1040" s="14"/>
    </row>
    <row r="1041" spans="8:8" x14ac:dyDescent="0.25">
      <c r="H1041" s="14"/>
    </row>
    <row r="1042" spans="8:8" x14ac:dyDescent="0.25">
      <c r="H1042" s="14"/>
    </row>
    <row r="1043" spans="8:8" x14ac:dyDescent="0.25">
      <c r="H1043" s="14"/>
    </row>
    <row r="1044" spans="8:8" x14ac:dyDescent="0.25">
      <c r="H1044" s="14"/>
    </row>
    <row r="1045" spans="8:8" x14ac:dyDescent="0.25">
      <c r="H1045" s="14"/>
    </row>
    <row r="1046" spans="8:8" x14ac:dyDescent="0.25">
      <c r="H1046" s="14"/>
    </row>
    <row r="1047" spans="8:8" x14ac:dyDescent="0.25">
      <c r="H1047" s="14"/>
    </row>
    <row r="1048" spans="8:8" x14ac:dyDescent="0.25">
      <c r="H1048" s="14"/>
    </row>
    <row r="1049" spans="8:8" x14ac:dyDescent="0.25">
      <c r="H1049" s="14"/>
    </row>
    <row r="1050" spans="8:8" x14ac:dyDescent="0.25">
      <c r="H1050" s="14"/>
    </row>
    <row r="1051" spans="8:8" x14ac:dyDescent="0.25">
      <c r="H1051" s="14"/>
    </row>
    <row r="1052" spans="8:8" x14ac:dyDescent="0.25">
      <c r="H1052" s="14"/>
    </row>
    <row r="1053" spans="8:8" x14ac:dyDescent="0.25">
      <c r="H1053" s="14"/>
    </row>
    <row r="1054" spans="8:8" x14ac:dyDescent="0.25">
      <c r="H1054" s="14"/>
    </row>
    <row r="1055" spans="8:8" x14ac:dyDescent="0.25">
      <c r="H1055" s="14"/>
    </row>
    <row r="1056" spans="8:8" x14ac:dyDescent="0.25">
      <c r="H1056" s="14"/>
    </row>
    <row r="1057" spans="8:8" x14ac:dyDescent="0.25">
      <c r="H1057" s="14"/>
    </row>
    <row r="1058" spans="8:8" x14ac:dyDescent="0.25">
      <c r="H1058" s="14"/>
    </row>
    <row r="1059" spans="8:8" x14ac:dyDescent="0.25">
      <c r="H1059" s="14"/>
    </row>
    <row r="1060" spans="8:8" x14ac:dyDescent="0.25">
      <c r="H1060" s="14"/>
    </row>
    <row r="1061" spans="8:8" x14ac:dyDescent="0.25">
      <c r="H1061" s="14"/>
    </row>
    <row r="1062" spans="8:8" x14ac:dyDescent="0.25">
      <c r="H1062" s="14"/>
    </row>
    <row r="1063" spans="8:8" x14ac:dyDescent="0.25">
      <c r="H1063" s="14"/>
    </row>
    <row r="1064" spans="8:8" x14ac:dyDescent="0.25">
      <c r="H1064" s="14"/>
    </row>
    <row r="1065" spans="8:8" x14ac:dyDescent="0.25">
      <c r="H1065" s="14"/>
    </row>
    <row r="1066" spans="8:8" x14ac:dyDescent="0.25">
      <c r="H1066" s="14"/>
    </row>
    <row r="1067" spans="8:8" x14ac:dyDescent="0.25">
      <c r="H1067" s="14"/>
    </row>
    <row r="1068" spans="8:8" x14ac:dyDescent="0.25">
      <c r="H1068" s="14"/>
    </row>
    <row r="1069" spans="8:8" x14ac:dyDescent="0.25">
      <c r="H1069" s="14"/>
    </row>
    <row r="1070" spans="8:8" x14ac:dyDescent="0.25">
      <c r="H1070" s="14"/>
    </row>
    <row r="1071" spans="8:8" x14ac:dyDescent="0.25">
      <c r="H1071" s="14"/>
    </row>
    <row r="1072" spans="8:8" x14ac:dyDescent="0.25">
      <c r="H1072" s="14"/>
    </row>
    <row r="1073" spans="8:8" x14ac:dyDescent="0.25">
      <c r="H1073" s="14"/>
    </row>
    <row r="1074" spans="8:8" x14ac:dyDescent="0.25">
      <c r="H1074" s="14"/>
    </row>
    <row r="1075" spans="8:8" x14ac:dyDescent="0.25">
      <c r="H1075" s="14"/>
    </row>
    <row r="1076" spans="8:8" x14ac:dyDescent="0.25">
      <c r="H1076" s="14"/>
    </row>
    <row r="1077" spans="8:8" x14ac:dyDescent="0.25">
      <c r="H1077" s="14"/>
    </row>
    <row r="1078" spans="8:8" x14ac:dyDescent="0.25">
      <c r="H1078" s="14"/>
    </row>
    <row r="1079" spans="8:8" x14ac:dyDescent="0.25">
      <c r="H1079" s="14"/>
    </row>
    <row r="1080" spans="8:8" x14ac:dyDescent="0.25">
      <c r="H1080" s="14"/>
    </row>
    <row r="1081" spans="8:8" x14ac:dyDescent="0.25">
      <c r="H1081" s="14"/>
    </row>
    <row r="1082" spans="8:8" x14ac:dyDescent="0.25">
      <c r="H1082" s="14"/>
    </row>
    <row r="1083" spans="8:8" x14ac:dyDescent="0.25">
      <c r="H1083" s="14"/>
    </row>
    <row r="1084" spans="8:8" x14ac:dyDescent="0.25">
      <c r="H1084" s="14"/>
    </row>
    <row r="1085" spans="8:8" x14ac:dyDescent="0.25">
      <c r="H1085" s="14"/>
    </row>
    <row r="1086" spans="8:8" x14ac:dyDescent="0.25">
      <c r="H1086" s="14"/>
    </row>
    <row r="1087" spans="8:8" x14ac:dyDescent="0.25">
      <c r="H1087" s="14"/>
    </row>
    <row r="1088" spans="8:8" x14ac:dyDescent="0.25">
      <c r="H1088" s="14"/>
    </row>
    <row r="1089" spans="8:8" x14ac:dyDescent="0.25">
      <c r="H1089" s="14"/>
    </row>
    <row r="1090" spans="8:8" x14ac:dyDescent="0.25">
      <c r="H1090" s="14"/>
    </row>
    <row r="1091" spans="8:8" x14ac:dyDescent="0.25">
      <c r="H1091" s="14"/>
    </row>
    <row r="1092" spans="8:8" x14ac:dyDescent="0.25">
      <c r="H1092" s="14"/>
    </row>
    <row r="1093" spans="8:8" x14ac:dyDescent="0.25">
      <c r="H1093" s="14"/>
    </row>
    <row r="1094" spans="8:8" x14ac:dyDescent="0.25">
      <c r="H1094" s="14"/>
    </row>
    <row r="1095" spans="8:8" x14ac:dyDescent="0.25">
      <c r="H1095" s="14"/>
    </row>
    <row r="1096" spans="8:8" x14ac:dyDescent="0.25">
      <c r="H1096" s="14"/>
    </row>
    <row r="1097" spans="8:8" x14ac:dyDescent="0.25">
      <c r="H1097" s="14"/>
    </row>
    <row r="1098" spans="8:8" x14ac:dyDescent="0.25">
      <c r="H1098" s="14"/>
    </row>
    <row r="1099" spans="8:8" x14ac:dyDescent="0.25">
      <c r="H1099" s="14"/>
    </row>
    <row r="1100" spans="8:8" x14ac:dyDescent="0.25">
      <c r="H1100" s="14"/>
    </row>
    <row r="1101" spans="8:8" x14ac:dyDescent="0.25">
      <c r="H1101" s="14"/>
    </row>
    <row r="1102" spans="8:8" x14ac:dyDescent="0.25">
      <c r="H1102" s="14"/>
    </row>
    <row r="1103" spans="8:8" x14ac:dyDescent="0.25">
      <c r="H1103" s="14"/>
    </row>
    <row r="1104" spans="8:8" x14ac:dyDescent="0.25">
      <c r="H1104" s="14"/>
    </row>
    <row r="1105" spans="8:8" x14ac:dyDescent="0.25">
      <c r="H1105" s="14"/>
    </row>
    <row r="1106" spans="8:8" x14ac:dyDescent="0.25">
      <c r="H1106" s="14"/>
    </row>
    <row r="1107" spans="8:8" x14ac:dyDescent="0.25">
      <c r="H1107" s="14"/>
    </row>
    <row r="1108" spans="8:8" x14ac:dyDescent="0.25">
      <c r="H1108" s="14"/>
    </row>
    <row r="1109" spans="8:8" x14ac:dyDescent="0.25">
      <c r="H1109" s="14"/>
    </row>
    <row r="1110" spans="8:8" x14ac:dyDescent="0.25">
      <c r="H1110" s="14"/>
    </row>
    <row r="1111" spans="8:8" x14ac:dyDescent="0.25">
      <c r="H1111" s="14"/>
    </row>
    <row r="1112" spans="8:8" x14ac:dyDescent="0.25">
      <c r="H1112" s="14"/>
    </row>
    <row r="1113" spans="8:8" x14ac:dyDescent="0.25">
      <c r="H1113" s="14"/>
    </row>
    <row r="1114" spans="8:8" x14ac:dyDescent="0.25">
      <c r="H1114" s="14"/>
    </row>
    <row r="1115" spans="8:8" x14ac:dyDescent="0.25">
      <c r="H1115" s="14"/>
    </row>
    <row r="1116" spans="8:8" x14ac:dyDescent="0.25">
      <c r="H1116" s="14"/>
    </row>
    <row r="1117" spans="8:8" x14ac:dyDescent="0.25">
      <c r="H1117" s="14"/>
    </row>
    <row r="1118" spans="8:8" x14ac:dyDescent="0.25">
      <c r="H1118" s="14"/>
    </row>
    <row r="1119" spans="8:8" x14ac:dyDescent="0.25">
      <c r="H1119" s="14"/>
    </row>
    <row r="1120" spans="8:8" x14ac:dyDescent="0.25">
      <c r="H1120" s="14"/>
    </row>
    <row r="1121" spans="8:8" x14ac:dyDescent="0.25">
      <c r="H1121" s="14"/>
    </row>
    <row r="1122" spans="8:8" x14ac:dyDescent="0.25">
      <c r="H1122" s="14"/>
    </row>
    <row r="1123" spans="8:8" x14ac:dyDescent="0.25">
      <c r="H1123" s="14"/>
    </row>
    <row r="1124" spans="8:8" x14ac:dyDescent="0.25">
      <c r="H1124" s="14"/>
    </row>
    <row r="1125" spans="8:8" x14ac:dyDescent="0.25">
      <c r="H1125" s="14"/>
    </row>
    <row r="1126" spans="8:8" x14ac:dyDescent="0.25">
      <c r="H1126" s="14"/>
    </row>
    <row r="1127" spans="8:8" x14ac:dyDescent="0.25">
      <c r="H1127" s="14"/>
    </row>
    <row r="1128" spans="8:8" x14ac:dyDescent="0.25">
      <c r="H1128" s="14"/>
    </row>
    <row r="1129" spans="8:8" x14ac:dyDescent="0.25">
      <c r="H1129" s="14"/>
    </row>
    <row r="1130" spans="8:8" x14ac:dyDescent="0.25">
      <c r="H1130" s="14"/>
    </row>
    <row r="1131" spans="8:8" x14ac:dyDescent="0.25">
      <c r="H1131" s="14"/>
    </row>
    <row r="1132" spans="8:8" x14ac:dyDescent="0.25">
      <c r="H1132" s="14"/>
    </row>
    <row r="1133" spans="8:8" x14ac:dyDescent="0.25">
      <c r="H1133" s="14"/>
    </row>
    <row r="1134" spans="8:8" x14ac:dyDescent="0.25">
      <c r="H1134" s="14"/>
    </row>
    <row r="1135" spans="8:8" x14ac:dyDescent="0.25">
      <c r="H1135" s="14"/>
    </row>
    <row r="1136" spans="8:8" x14ac:dyDescent="0.25">
      <c r="H1136" s="14"/>
    </row>
    <row r="1137" spans="8:8" x14ac:dyDescent="0.25">
      <c r="H1137" s="14"/>
    </row>
    <row r="1138" spans="8:8" x14ac:dyDescent="0.25">
      <c r="H1138" s="14"/>
    </row>
    <row r="1139" spans="8:8" x14ac:dyDescent="0.25">
      <c r="H1139" s="14"/>
    </row>
    <row r="1140" spans="8:8" x14ac:dyDescent="0.25">
      <c r="H1140" s="14"/>
    </row>
    <row r="1141" spans="8:8" x14ac:dyDescent="0.25">
      <c r="H1141" s="14"/>
    </row>
    <row r="1142" spans="8:8" x14ac:dyDescent="0.25">
      <c r="H1142" s="14"/>
    </row>
    <row r="1143" spans="8:8" x14ac:dyDescent="0.25">
      <c r="H1143" s="14"/>
    </row>
    <row r="1144" spans="8:8" x14ac:dyDescent="0.25">
      <c r="H1144" s="14"/>
    </row>
    <row r="1145" spans="8:8" x14ac:dyDescent="0.25">
      <c r="H1145" s="14"/>
    </row>
    <row r="1146" spans="8:8" x14ac:dyDescent="0.25">
      <c r="H1146" s="14"/>
    </row>
    <row r="1147" spans="8:8" x14ac:dyDescent="0.25">
      <c r="H1147" s="14"/>
    </row>
    <row r="1148" spans="8:8" x14ac:dyDescent="0.25">
      <c r="H1148" s="14"/>
    </row>
    <row r="1149" spans="8:8" x14ac:dyDescent="0.25">
      <c r="H1149" s="14"/>
    </row>
    <row r="1150" spans="8:8" x14ac:dyDescent="0.25">
      <c r="H1150" s="14"/>
    </row>
    <row r="1151" spans="8:8" x14ac:dyDescent="0.25">
      <c r="H1151" s="14"/>
    </row>
    <row r="1152" spans="8:8" x14ac:dyDescent="0.25">
      <c r="H1152" s="14"/>
    </row>
    <row r="1153" spans="8:8" x14ac:dyDescent="0.25">
      <c r="H1153" s="14"/>
    </row>
    <row r="1154" spans="8:8" x14ac:dyDescent="0.25">
      <c r="H1154" s="14"/>
    </row>
    <row r="1155" spans="8:8" x14ac:dyDescent="0.25">
      <c r="H1155" s="14"/>
    </row>
    <row r="1156" spans="8:8" x14ac:dyDescent="0.25">
      <c r="H1156" s="14"/>
    </row>
    <row r="1157" spans="8:8" x14ac:dyDescent="0.25">
      <c r="H1157" s="14"/>
    </row>
    <row r="1158" spans="8:8" x14ac:dyDescent="0.25">
      <c r="H1158" s="14"/>
    </row>
    <row r="1159" spans="8:8" x14ac:dyDescent="0.25">
      <c r="H1159" s="14"/>
    </row>
    <row r="1160" spans="8:8" x14ac:dyDescent="0.25">
      <c r="H1160" s="14"/>
    </row>
    <row r="1161" spans="8:8" x14ac:dyDescent="0.25">
      <c r="H1161" s="14"/>
    </row>
    <row r="1162" spans="8:8" x14ac:dyDescent="0.25">
      <c r="H1162" s="14"/>
    </row>
    <row r="1163" spans="8:8" x14ac:dyDescent="0.25">
      <c r="H1163" s="14"/>
    </row>
    <row r="1164" spans="8:8" x14ac:dyDescent="0.25">
      <c r="H1164" s="14"/>
    </row>
    <row r="1165" spans="8:8" x14ac:dyDescent="0.25">
      <c r="H1165" s="14"/>
    </row>
    <row r="1166" spans="8:8" x14ac:dyDescent="0.25">
      <c r="H1166" s="14"/>
    </row>
    <row r="1167" spans="8:8" x14ac:dyDescent="0.25">
      <c r="H1167" s="14"/>
    </row>
    <row r="1168" spans="8:8" x14ac:dyDescent="0.25">
      <c r="H1168" s="14"/>
    </row>
    <row r="1169" spans="8:8" x14ac:dyDescent="0.25">
      <c r="H1169" s="14"/>
    </row>
    <row r="1170" spans="8:8" x14ac:dyDescent="0.25">
      <c r="H1170" s="14"/>
    </row>
    <row r="1171" spans="8:8" x14ac:dyDescent="0.25">
      <c r="H1171" s="14"/>
    </row>
    <row r="1172" spans="8:8" x14ac:dyDescent="0.25">
      <c r="H1172" s="14"/>
    </row>
    <row r="1173" spans="8:8" x14ac:dyDescent="0.25">
      <c r="H1173" s="14"/>
    </row>
    <row r="1174" spans="8:8" x14ac:dyDescent="0.25">
      <c r="H1174" s="14"/>
    </row>
    <row r="1175" spans="8:8" x14ac:dyDescent="0.25">
      <c r="H1175" s="14"/>
    </row>
    <row r="1176" spans="8:8" x14ac:dyDescent="0.25">
      <c r="H1176" s="14"/>
    </row>
    <row r="1177" spans="8:8" x14ac:dyDescent="0.25">
      <c r="H1177" s="14"/>
    </row>
    <row r="1178" spans="8:8" x14ac:dyDescent="0.25">
      <c r="H1178" s="14"/>
    </row>
    <row r="1179" spans="8:8" x14ac:dyDescent="0.25">
      <c r="H1179" s="14"/>
    </row>
    <row r="1180" spans="8:8" x14ac:dyDescent="0.25">
      <c r="H1180" s="14"/>
    </row>
    <row r="1181" spans="8:8" x14ac:dyDescent="0.25">
      <c r="H1181" s="14"/>
    </row>
    <row r="1182" spans="8:8" x14ac:dyDescent="0.25">
      <c r="H1182" s="14"/>
    </row>
    <row r="1183" spans="8:8" x14ac:dyDescent="0.25">
      <c r="H1183" s="14"/>
    </row>
    <row r="1184" spans="8:8" x14ac:dyDescent="0.25">
      <c r="H1184" s="14"/>
    </row>
    <row r="1185" spans="8:8" x14ac:dyDescent="0.25">
      <c r="H1185" s="14"/>
    </row>
    <row r="1186" spans="8:8" x14ac:dyDescent="0.25">
      <c r="H1186" s="14"/>
    </row>
    <row r="1187" spans="8:8" x14ac:dyDescent="0.25">
      <c r="H1187" s="14"/>
    </row>
    <row r="1188" spans="8:8" x14ac:dyDescent="0.25">
      <c r="H1188" s="14"/>
    </row>
    <row r="1189" spans="8:8" x14ac:dyDescent="0.25">
      <c r="H1189" s="14"/>
    </row>
    <row r="1190" spans="8:8" x14ac:dyDescent="0.25">
      <c r="H1190" s="14"/>
    </row>
    <row r="1191" spans="8:8" x14ac:dyDescent="0.25">
      <c r="H1191" s="14"/>
    </row>
    <row r="1192" spans="8:8" x14ac:dyDescent="0.25">
      <c r="H1192" s="14"/>
    </row>
    <row r="1193" spans="8:8" x14ac:dyDescent="0.25">
      <c r="H1193" s="14"/>
    </row>
    <row r="1194" spans="8:8" x14ac:dyDescent="0.25">
      <c r="H1194" s="14"/>
    </row>
    <row r="1195" spans="8:8" x14ac:dyDescent="0.25">
      <c r="H1195" s="14"/>
    </row>
    <row r="1196" spans="8:8" x14ac:dyDescent="0.25">
      <c r="H1196" s="14"/>
    </row>
    <row r="1197" spans="8:8" x14ac:dyDescent="0.25">
      <c r="H1197" s="14"/>
    </row>
    <row r="1198" spans="8:8" x14ac:dyDescent="0.25">
      <c r="H1198" s="14"/>
    </row>
    <row r="1199" spans="8:8" x14ac:dyDescent="0.25">
      <c r="H1199" s="14"/>
    </row>
    <row r="1200" spans="8:8" x14ac:dyDescent="0.25">
      <c r="H1200" s="14"/>
    </row>
    <row r="1201" spans="8:8" x14ac:dyDescent="0.25">
      <c r="H1201" s="14"/>
    </row>
    <row r="1202" spans="8:8" x14ac:dyDescent="0.25">
      <c r="H1202" s="14"/>
    </row>
    <row r="1203" spans="8:8" x14ac:dyDescent="0.25">
      <c r="H1203" s="14"/>
    </row>
    <row r="1204" spans="8:8" x14ac:dyDescent="0.25">
      <c r="H1204" s="14"/>
    </row>
    <row r="1205" spans="8:8" x14ac:dyDescent="0.25">
      <c r="H1205" s="14"/>
    </row>
    <row r="1206" spans="8:8" x14ac:dyDescent="0.25">
      <c r="H1206" s="14"/>
    </row>
    <row r="1207" spans="8:8" x14ac:dyDescent="0.25">
      <c r="H1207" s="14"/>
    </row>
    <row r="1208" spans="8:8" x14ac:dyDescent="0.25">
      <c r="H1208" s="14"/>
    </row>
    <row r="1209" spans="8:8" x14ac:dyDescent="0.25">
      <c r="H1209" s="14"/>
    </row>
    <row r="1210" spans="8:8" x14ac:dyDescent="0.25">
      <c r="H1210" s="14"/>
    </row>
    <row r="1211" spans="8:8" x14ac:dyDescent="0.25">
      <c r="H1211" s="14"/>
    </row>
    <row r="1212" spans="8:8" x14ac:dyDescent="0.25">
      <c r="H1212" s="14"/>
    </row>
    <row r="1213" spans="8:8" x14ac:dyDescent="0.25">
      <c r="H1213" s="14"/>
    </row>
    <row r="1214" spans="8:8" x14ac:dyDescent="0.25">
      <c r="H1214" s="14"/>
    </row>
    <row r="1215" spans="8:8" x14ac:dyDescent="0.25">
      <c r="H1215" s="14"/>
    </row>
    <row r="1216" spans="8:8" x14ac:dyDescent="0.25">
      <c r="H1216" s="14"/>
    </row>
    <row r="1217" spans="8:8" x14ac:dyDescent="0.25">
      <c r="H1217" s="14"/>
    </row>
    <row r="1218" spans="8:8" x14ac:dyDescent="0.25">
      <c r="H1218" s="14"/>
    </row>
    <row r="1219" spans="8:8" x14ac:dyDescent="0.25">
      <c r="H1219" s="14"/>
    </row>
    <row r="1220" spans="8:8" x14ac:dyDescent="0.25">
      <c r="H1220" s="14"/>
    </row>
    <row r="1221" spans="8:8" x14ac:dyDescent="0.25">
      <c r="H1221" s="14"/>
    </row>
    <row r="1222" spans="8:8" x14ac:dyDescent="0.25">
      <c r="H1222" s="14"/>
    </row>
    <row r="1223" spans="8:8" x14ac:dyDescent="0.25">
      <c r="H1223" s="14"/>
    </row>
    <row r="1224" spans="8:8" x14ac:dyDescent="0.25">
      <c r="H1224" s="14"/>
    </row>
    <row r="1225" spans="8:8" x14ac:dyDescent="0.25">
      <c r="H1225" s="14"/>
    </row>
    <row r="1226" spans="8:8" x14ac:dyDescent="0.25">
      <c r="H1226" s="14"/>
    </row>
    <row r="1227" spans="8:8" x14ac:dyDescent="0.25">
      <c r="H1227" s="14"/>
    </row>
    <row r="1228" spans="8:8" x14ac:dyDescent="0.25">
      <c r="H1228" s="14"/>
    </row>
    <row r="1229" spans="8:8" x14ac:dyDescent="0.25">
      <c r="H1229" s="14"/>
    </row>
    <row r="1230" spans="8:8" x14ac:dyDescent="0.25">
      <c r="H1230" s="14"/>
    </row>
    <row r="1231" spans="8:8" x14ac:dyDescent="0.25">
      <c r="H1231" s="14"/>
    </row>
    <row r="1232" spans="8:8" x14ac:dyDescent="0.25">
      <c r="H1232" s="14"/>
    </row>
    <row r="1233" spans="8:8" x14ac:dyDescent="0.25">
      <c r="H1233" s="14"/>
    </row>
    <row r="1234" spans="8:8" x14ac:dyDescent="0.25">
      <c r="H1234" s="14"/>
    </row>
    <row r="1235" spans="8:8" x14ac:dyDescent="0.25">
      <c r="H1235" s="14"/>
    </row>
    <row r="1236" spans="8:8" x14ac:dyDescent="0.25">
      <c r="H1236" s="14"/>
    </row>
    <row r="1237" spans="8:8" x14ac:dyDescent="0.25">
      <c r="H1237" s="14"/>
    </row>
    <row r="1238" spans="8:8" x14ac:dyDescent="0.25">
      <c r="H1238" s="14"/>
    </row>
    <row r="1239" spans="8:8" x14ac:dyDescent="0.25">
      <c r="H1239" s="14"/>
    </row>
    <row r="1240" spans="8:8" x14ac:dyDescent="0.25">
      <c r="H1240" s="14"/>
    </row>
    <row r="1241" spans="8:8" x14ac:dyDescent="0.25">
      <c r="H1241" s="14"/>
    </row>
    <row r="1242" spans="8:8" x14ac:dyDescent="0.25">
      <c r="H1242" s="14"/>
    </row>
    <row r="1243" spans="8:8" x14ac:dyDescent="0.25">
      <c r="H1243" s="14"/>
    </row>
    <row r="1244" spans="8:8" x14ac:dyDescent="0.25">
      <c r="H1244" s="14"/>
    </row>
    <row r="1245" spans="8:8" x14ac:dyDescent="0.25">
      <c r="H1245" s="14"/>
    </row>
    <row r="1246" spans="8:8" x14ac:dyDescent="0.25">
      <c r="H1246" s="14"/>
    </row>
    <row r="1247" spans="8:8" x14ac:dyDescent="0.25">
      <c r="H1247" s="14"/>
    </row>
    <row r="1248" spans="8:8" x14ac:dyDescent="0.25">
      <c r="H1248" s="14"/>
    </row>
    <row r="1249" spans="8:8" x14ac:dyDescent="0.25">
      <c r="H1249" s="14"/>
    </row>
    <row r="1250" spans="8:8" x14ac:dyDescent="0.25">
      <c r="H1250" s="14"/>
    </row>
    <row r="1251" spans="8:8" x14ac:dyDescent="0.25">
      <c r="H1251" s="14"/>
    </row>
    <row r="1252" spans="8:8" x14ac:dyDescent="0.25">
      <c r="H1252" s="14"/>
    </row>
    <row r="1253" spans="8:8" x14ac:dyDescent="0.25">
      <c r="H1253" s="14"/>
    </row>
    <row r="1254" spans="8:8" x14ac:dyDescent="0.25">
      <c r="H1254" s="14"/>
    </row>
    <row r="1255" spans="8:8" x14ac:dyDescent="0.25">
      <c r="H1255" s="14"/>
    </row>
    <row r="1256" spans="8:8" x14ac:dyDescent="0.25">
      <c r="H1256" s="14"/>
    </row>
    <row r="1257" spans="8:8" x14ac:dyDescent="0.25">
      <c r="H1257" s="14"/>
    </row>
    <row r="1258" spans="8:8" x14ac:dyDescent="0.25">
      <c r="H1258" s="14"/>
    </row>
    <row r="1259" spans="8:8" x14ac:dyDescent="0.25">
      <c r="H1259" s="14"/>
    </row>
    <row r="1260" spans="8:8" x14ac:dyDescent="0.25">
      <c r="H1260" s="14"/>
    </row>
    <row r="1261" spans="8:8" x14ac:dyDescent="0.25">
      <c r="H1261" s="14"/>
    </row>
    <row r="1262" spans="8:8" x14ac:dyDescent="0.25">
      <c r="H1262" s="14"/>
    </row>
    <row r="1263" spans="8:8" x14ac:dyDescent="0.25">
      <c r="H1263" s="14"/>
    </row>
    <row r="1264" spans="8:8" x14ac:dyDescent="0.25">
      <c r="H1264" s="14"/>
    </row>
    <row r="1265" spans="8:8" x14ac:dyDescent="0.25">
      <c r="H1265" s="14"/>
    </row>
    <row r="1266" spans="8:8" x14ac:dyDescent="0.25">
      <c r="H1266" s="14"/>
    </row>
    <row r="1267" spans="8:8" x14ac:dyDescent="0.25">
      <c r="H1267" s="14"/>
    </row>
    <row r="1268" spans="8:8" x14ac:dyDescent="0.25">
      <c r="H1268" s="14"/>
    </row>
    <row r="1269" spans="8:8" x14ac:dyDescent="0.25">
      <c r="H1269" s="14"/>
    </row>
    <row r="1270" spans="8:8" x14ac:dyDescent="0.25">
      <c r="H1270" s="14"/>
    </row>
    <row r="1271" spans="8:8" x14ac:dyDescent="0.25">
      <c r="H1271" s="14"/>
    </row>
    <row r="1272" spans="8:8" x14ac:dyDescent="0.25">
      <c r="H1272" s="14"/>
    </row>
    <row r="1273" spans="8:8" x14ac:dyDescent="0.25">
      <c r="H1273" s="14"/>
    </row>
    <row r="1274" spans="8:8" x14ac:dyDescent="0.25">
      <c r="H1274" s="14"/>
    </row>
    <row r="1275" spans="8:8" x14ac:dyDescent="0.25">
      <c r="H1275" s="14"/>
    </row>
    <row r="1276" spans="8:8" x14ac:dyDescent="0.25">
      <c r="H1276" s="14"/>
    </row>
    <row r="1277" spans="8:8" x14ac:dyDescent="0.25">
      <c r="H1277" s="14"/>
    </row>
    <row r="1278" spans="8:8" x14ac:dyDescent="0.25">
      <c r="H1278" s="14"/>
    </row>
    <row r="1279" spans="8:8" x14ac:dyDescent="0.25">
      <c r="H1279" s="14"/>
    </row>
    <row r="1280" spans="8:8" x14ac:dyDescent="0.25">
      <c r="H1280" s="14"/>
    </row>
    <row r="1281" spans="8:8" x14ac:dyDescent="0.25">
      <c r="H1281" s="14"/>
    </row>
    <row r="1282" spans="8:8" x14ac:dyDescent="0.25">
      <c r="H1282" s="14"/>
    </row>
    <row r="1283" spans="8:8" x14ac:dyDescent="0.25">
      <c r="H1283" s="14"/>
    </row>
    <row r="1284" spans="8:8" x14ac:dyDescent="0.25">
      <c r="H1284" s="14"/>
    </row>
    <row r="1285" spans="8:8" x14ac:dyDescent="0.25">
      <c r="H1285" s="14"/>
    </row>
    <row r="1286" spans="8:8" x14ac:dyDescent="0.25">
      <c r="H1286" s="14"/>
    </row>
    <row r="1287" spans="8:8" x14ac:dyDescent="0.25">
      <c r="H1287" s="14"/>
    </row>
    <row r="1288" spans="8:8" x14ac:dyDescent="0.25">
      <c r="H1288" s="14"/>
    </row>
    <row r="1289" spans="8:8" x14ac:dyDescent="0.25">
      <c r="H1289" s="14"/>
    </row>
    <row r="1290" spans="8:8" x14ac:dyDescent="0.25">
      <c r="H1290" s="14"/>
    </row>
    <row r="1291" spans="8:8" x14ac:dyDescent="0.25">
      <c r="H1291" s="14"/>
    </row>
    <row r="1292" spans="8:8" x14ac:dyDescent="0.25">
      <c r="H1292" s="14"/>
    </row>
    <row r="1293" spans="8:8" x14ac:dyDescent="0.25">
      <c r="H1293" s="14"/>
    </row>
    <row r="1294" spans="8:8" x14ac:dyDescent="0.25">
      <c r="H1294" s="14"/>
    </row>
    <row r="1295" spans="8:8" x14ac:dyDescent="0.25">
      <c r="H1295" s="14"/>
    </row>
    <row r="1296" spans="8:8" x14ac:dyDescent="0.25">
      <c r="H1296" s="14"/>
    </row>
    <row r="1297" spans="8:8" x14ac:dyDescent="0.25">
      <c r="H1297" s="14"/>
    </row>
    <row r="1298" spans="8:8" x14ac:dyDescent="0.25">
      <c r="H1298" s="14"/>
    </row>
    <row r="1299" spans="8:8" x14ac:dyDescent="0.25">
      <c r="H1299" s="14"/>
    </row>
    <row r="1300" spans="8:8" x14ac:dyDescent="0.25">
      <c r="H1300" s="14"/>
    </row>
    <row r="1301" spans="8:8" x14ac:dyDescent="0.25">
      <c r="H1301" s="14"/>
    </row>
    <row r="1302" spans="8:8" x14ac:dyDescent="0.25">
      <c r="H1302" s="14"/>
    </row>
    <row r="1303" spans="8:8" x14ac:dyDescent="0.25">
      <c r="H1303" s="14"/>
    </row>
    <row r="1304" spans="8:8" x14ac:dyDescent="0.25">
      <c r="H1304" s="14"/>
    </row>
    <row r="1305" spans="8:8" x14ac:dyDescent="0.25">
      <c r="H1305" s="14"/>
    </row>
    <row r="1306" spans="8:8" x14ac:dyDescent="0.25">
      <c r="H1306" s="14"/>
    </row>
    <row r="1307" spans="8:8" x14ac:dyDescent="0.25">
      <c r="H1307" s="14"/>
    </row>
    <row r="1308" spans="8:8" x14ac:dyDescent="0.25">
      <c r="H1308" s="14"/>
    </row>
    <row r="1309" spans="8:8" x14ac:dyDescent="0.25">
      <c r="H1309" s="14"/>
    </row>
    <row r="1310" spans="8:8" x14ac:dyDescent="0.25">
      <c r="H1310" s="14"/>
    </row>
    <row r="1311" spans="8:8" x14ac:dyDescent="0.25">
      <c r="H1311" s="14"/>
    </row>
    <row r="1312" spans="8:8" x14ac:dyDescent="0.25">
      <c r="H1312" s="14"/>
    </row>
    <row r="1313" spans="8:8" x14ac:dyDescent="0.25">
      <c r="H1313" s="14"/>
    </row>
    <row r="1314" spans="8:8" x14ac:dyDescent="0.25">
      <c r="H1314" s="14"/>
    </row>
    <row r="1315" spans="8:8" x14ac:dyDescent="0.25">
      <c r="H1315" s="14"/>
    </row>
    <row r="1316" spans="8:8" x14ac:dyDescent="0.25">
      <c r="H1316" s="14"/>
    </row>
    <row r="1317" spans="8:8" x14ac:dyDescent="0.25">
      <c r="H1317" s="14"/>
    </row>
    <row r="1318" spans="8:8" x14ac:dyDescent="0.25">
      <c r="H1318" s="14"/>
    </row>
    <row r="1319" spans="8:8" x14ac:dyDescent="0.25">
      <c r="H1319" s="14"/>
    </row>
    <row r="1320" spans="8:8" x14ac:dyDescent="0.25">
      <c r="H1320" s="14"/>
    </row>
    <row r="1321" spans="8:8" x14ac:dyDescent="0.25">
      <c r="H1321" s="14"/>
    </row>
    <row r="1322" spans="8:8" x14ac:dyDescent="0.25">
      <c r="H1322" s="14"/>
    </row>
    <row r="1323" spans="8:8" x14ac:dyDescent="0.25">
      <c r="H1323" s="14"/>
    </row>
    <row r="1324" spans="8:8" x14ac:dyDescent="0.25">
      <c r="H1324" s="14"/>
    </row>
    <row r="1325" spans="8:8" x14ac:dyDescent="0.25">
      <c r="H1325" s="14"/>
    </row>
    <row r="1326" spans="8:8" x14ac:dyDescent="0.25">
      <c r="H1326" s="14"/>
    </row>
    <row r="1327" spans="8:8" x14ac:dyDescent="0.25">
      <c r="H1327" s="14"/>
    </row>
    <row r="1328" spans="8:8" x14ac:dyDescent="0.25">
      <c r="H1328" s="14"/>
    </row>
    <row r="1329" spans="8:8" x14ac:dyDescent="0.25">
      <c r="H1329" s="14"/>
    </row>
    <row r="1330" spans="8:8" x14ac:dyDescent="0.25">
      <c r="H1330" s="14"/>
    </row>
    <row r="1331" spans="8:8" x14ac:dyDescent="0.25">
      <c r="H1331" s="14"/>
    </row>
    <row r="1332" spans="8:8" x14ac:dyDescent="0.25">
      <c r="H1332" s="14"/>
    </row>
    <row r="1333" spans="8:8" x14ac:dyDescent="0.25">
      <c r="H1333" s="14"/>
    </row>
    <row r="1334" spans="8:8" x14ac:dyDescent="0.25">
      <c r="H1334" s="14"/>
    </row>
    <row r="1335" spans="8:8" x14ac:dyDescent="0.25">
      <c r="H1335" s="14"/>
    </row>
    <row r="1336" spans="8:8" x14ac:dyDescent="0.25">
      <c r="H1336" s="14"/>
    </row>
    <row r="1337" spans="8:8" x14ac:dyDescent="0.25">
      <c r="H1337" s="14"/>
    </row>
    <row r="1338" spans="8:8" x14ac:dyDescent="0.25">
      <c r="H1338" s="14"/>
    </row>
    <row r="1339" spans="8:8" x14ac:dyDescent="0.25">
      <c r="H1339" s="14"/>
    </row>
    <row r="1340" spans="8:8" x14ac:dyDescent="0.25">
      <c r="H1340" s="14"/>
    </row>
    <row r="1341" spans="8:8" x14ac:dyDescent="0.25">
      <c r="H1341" s="14"/>
    </row>
    <row r="1342" spans="8:8" x14ac:dyDescent="0.25">
      <c r="H1342" s="14"/>
    </row>
    <row r="1343" spans="8:8" x14ac:dyDescent="0.25">
      <c r="H1343" s="14"/>
    </row>
    <row r="1344" spans="8:8" x14ac:dyDescent="0.25">
      <c r="H1344" s="14"/>
    </row>
    <row r="1345" spans="8:8" x14ac:dyDescent="0.25">
      <c r="H1345" s="14"/>
    </row>
    <row r="1346" spans="8:8" x14ac:dyDescent="0.25">
      <c r="H1346" s="14"/>
    </row>
    <row r="1347" spans="8:8" x14ac:dyDescent="0.25">
      <c r="H1347" s="14"/>
    </row>
    <row r="1348" spans="8:8" x14ac:dyDescent="0.25">
      <c r="H1348" s="14"/>
    </row>
    <row r="1349" spans="8:8" x14ac:dyDescent="0.25">
      <c r="H1349" s="14"/>
    </row>
    <row r="1350" spans="8:8" x14ac:dyDescent="0.25">
      <c r="H1350" s="14"/>
    </row>
    <row r="1351" spans="8:8" x14ac:dyDescent="0.25">
      <c r="H1351" s="14"/>
    </row>
    <row r="1352" spans="8:8" x14ac:dyDescent="0.25">
      <c r="H1352" s="14"/>
    </row>
    <row r="1353" spans="8:8" x14ac:dyDescent="0.25">
      <c r="H1353" s="14"/>
    </row>
    <row r="1354" spans="8:8" x14ac:dyDescent="0.25">
      <c r="H1354" s="14"/>
    </row>
    <row r="1355" spans="8:8" x14ac:dyDescent="0.25">
      <c r="H1355" s="14"/>
    </row>
    <row r="1356" spans="8:8" x14ac:dyDescent="0.25">
      <c r="H1356" s="14"/>
    </row>
    <row r="1357" spans="8:8" x14ac:dyDescent="0.25">
      <c r="H1357" s="14"/>
    </row>
    <row r="1358" spans="8:8" x14ac:dyDescent="0.25">
      <c r="H1358" s="14"/>
    </row>
    <row r="1359" spans="8:8" x14ac:dyDescent="0.25">
      <c r="H1359" s="14"/>
    </row>
    <row r="1360" spans="8:8" x14ac:dyDescent="0.25">
      <c r="H1360" s="14"/>
    </row>
    <row r="1361" spans="8:8" x14ac:dyDescent="0.25">
      <c r="H1361" s="14"/>
    </row>
    <row r="1362" spans="8:8" x14ac:dyDescent="0.25">
      <c r="H1362" s="14"/>
    </row>
    <row r="1363" spans="8:8" x14ac:dyDescent="0.25">
      <c r="H1363" s="14"/>
    </row>
    <row r="1364" spans="8:8" x14ac:dyDescent="0.25">
      <c r="H1364" s="14"/>
    </row>
    <row r="1365" spans="8:8" x14ac:dyDescent="0.25">
      <c r="H1365" s="14"/>
    </row>
    <row r="1366" spans="8:8" x14ac:dyDescent="0.25">
      <c r="H1366" s="14"/>
    </row>
    <row r="1367" spans="8:8" x14ac:dyDescent="0.25">
      <c r="H1367" s="14"/>
    </row>
    <row r="1368" spans="8:8" x14ac:dyDescent="0.25">
      <c r="H1368" s="14"/>
    </row>
    <row r="1369" spans="8:8" x14ac:dyDescent="0.25">
      <c r="H1369" s="14"/>
    </row>
    <row r="1370" spans="8:8" x14ac:dyDescent="0.25">
      <c r="H1370" s="14"/>
    </row>
    <row r="1371" spans="8:8" x14ac:dyDescent="0.25">
      <c r="H1371" s="14"/>
    </row>
    <row r="1372" spans="8:8" x14ac:dyDescent="0.25">
      <c r="H1372" s="14"/>
    </row>
    <row r="1373" spans="8:8" x14ac:dyDescent="0.25">
      <c r="H1373" s="14"/>
    </row>
    <row r="1374" spans="8:8" x14ac:dyDescent="0.25">
      <c r="H1374" s="14"/>
    </row>
    <row r="1375" spans="8:8" x14ac:dyDescent="0.25">
      <c r="H1375" s="14"/>
    </row>
    <row r="1376" spans="8:8" x14ac:dyDescent="0.25">
      <c r="H1376" s="14"/>
    </row>
    <row r="1377" spans="8:8" x14ac:dyDescent="0.25">
      <c r="H1377" s="14"/>
    </row>
    <row r="1378" spans="8:8" x14ac:dyDescent="0.25">
      <c r="H1378" s="14"/>
    </row>
    <row r="1379" spans="8:8" x14ac:dyDescent="0.25">
      <c r="H1379" s="14"/>
    </row>
    <row r="1380" spans="8:8" x14ac:dyDescent="0.25">
      <c r="H1380" s="14"/>
    </row>
    <row r="1381" spans="8:8" x14ac:dyDescent="0.25">
      <c r="H1381" s="14"/>
    </row>
    <row r="1382" spans="8:8" x14ac:dyDescent="0.25">
      <c r="H1382" s="14"/>
    </row>
    <row r="1383" spans="8:8" x14ac:dyDescent="0.25">
      <c r="H1383" s="14"/>
    </row>
    <row r="1384" spans="8:8" x14ac:dyDescent="0.25">
      <c r="H1384" s="14"/>
    </row>
    <row r="1385" spans="8:8" x14ac:dyDescent="0.25">
      <c r="H1385" s="14"/>
    </row>
    <row r="1386" spans="8:8" x14ac:dyDescent="0.25">
      <c r="H1386" s="14"/>
    </row>
    <row r="1387" spans="8:8" x14ac:dyDescent="0.25">
      <c r="H1387" s="14"/>
    </row>
    <row r="1388" spans="8:8" x14ac:dyDescent="0.25">
      <c r="H1388" s="14"/>
    </row>
    <row r="1389" spans="8:8" x14ac:dyDescent="0.25">
      <c r="H1389" s="14"/>
    </row>
    <row r="1390" spans="8:8" x14ac:dyDescent="0.25">
      <c r="H1390" s="14"/>
    </row>
    <row r="1391" spans="8:8" x14ac:dyDescent="0.25">
      <c r="H1391" s="14"/>
    </row>
    <row r="1392" spans="8:8" x14ac:dyDescent="0.25">
      <c r="H1392" s="14"/>
    </row>
    <row r="1393" spans="8:8" x14ac:dyDescent="0.25">
      <c r="H1393" s="14"/>
    </row>
    <row r="1394" spans="8:8" x14ac:dyDescent="0.25">
      <c r="H1394" s="14"/>
    </row>
    <row r="1395" spans="8:8" x14ac:dyDescent="0.25">
      <c r="H1395" s="14"/>
    </row>
    <row r="1396" spans="8:8" x14ac:dyDescent="0.25">
      <c r="H1396" s="14"/>
    </row>
    <row r="1397" spans="8:8" x14ac:dyDescent="0.25">
      <c r="H1397" s="14"/>
    </row>
    <row r="1398" spans="8:8" x14ac:dyDescent="0.25">
      <c r="H1398" s="14"/>
    </row>
    <row r="1399" spans="8:8" x14ac:dyDescent="0.25">
      <c r="H1399" s="14"/>
    </row>
    <row r="1400" spans="8:8" x14ac:dyDescent="0.25">
      <c r="H1400" s="14"/>
    </row>
    <row r="1401" spans="8:8" x14ac:dyDescent="0.25">
      <c r="H1401" s="14"/>
    </row>
    <row r="1402" spans="8:8" x14ac:dyDescent="0.25">
      <c r="H1402" s="14"/>
    </row>
    <row r="1403" spans="8:8" x14ac:dyDescent="0.25">
      <c r="H1403" s="14"/>
    </row>
    <row r="1404" spans="8:8" x14ac:dyDescent="0.25">
      <c r="H1404" s="14"/>
    </row>
    <row r="1405" spans="8:8" x14ac:dyDescent="0.25">
      <c r="H1405" s="14"/>
    </row>
    <row r="1406" spans="8:8" x14ac:dyDescent="0.25">
      <c r="H1406" s="14"/>
    </row>
    <row r="1407" spans="8:8" x14ac:dyDescent="0.25">
      <c r="H1407" s="14"/>
    </row>
    <row r="1408" spans="8:8" x14ac:dyDescent="0.25">
      <c r="H1408" s="14"/>
    </row>
    <row r="1409" spans="8:8" x14ac:dyDescent="0.25">
      <c r="H1409" s="14"/>
    </row>
    <row r="1410" spans="8:8" x14ac:dyDescent="0.25">
      <c r="H1410" s="14"/>
    </row>
    <row r="1411" spans="8:8" x14ac:dyDescent="0.25">
      <c r="H1411" s="14"/>
    </row>
    <row r="1412" spans="8:8" x14ac:dyDescent="0.25">
      <c r="H1412" s="14"/>
    </row>
    <row r="1413" spans="8:8" x14ac:dyDescent="0.25">
      <c r="H1413" s="14"/>
    </row>
    <row r="1414" spans="8:8" x14ac:dyDescent="0.25">
      <c r="H1414" s="14"/>
    </row>
    <row r="1415" spans="8:8" x14ac:dyDescent="0.25">
      <c r="H1415" s="14"/>
    </row>
    <row r="1416" spans="8:8" x14ac:dyDescent="0.25">
      <c r="H1416" s="14"/>
    </row>
    <row r="1417" spans="8:8" x14ac:dyDescent="0.25">
      <c r="H1417" s="14"/>
    </row>
    <row r="1418" spans="8:8" x14ac:dyDescent="0.25">
      <c r="H1418" s="14"/>
    </row>
    <row r="1419" spans="8:8" x14ac:dyDescent="0.25">
      <c r="H1419" s="14"/>
    </row>
    <row r="1420" spans="8:8" x14ac:dyDescent="0.25">
      <c r="H1420" s="14"/>
    </row>
    <row r="1421" spans="8:8" x14ac:dyDescent="0.25">
      <c r="H1421" s="14"/>
    </row>
    <row r="1422" spans="8:8" x14ac:dyDescent="0.25">
      <c r="H1422" s="14"/>
    </row>
    <row r="1423" spans="8:8" x14ac:dyDescent="0.25">
      <c r="H1423" s="14"/>
    </row>
    <row r="1424" spans="8:8" x14ac:dyDescent="0.25">
      <c r="H1424" s="14"/>
    </row>
    <row r="1425" spans="8:8" x14ac:dyDescent="0.25">
      <c r="H1425" s="14"/>
    </row>
    <row r="1426" spans="8:8" x14ac:dyDescent="0.25">
      <c r="H1426" s="14"/>
    </row>
    <row r="1427" spans="8:8" x14ac:dyDescent="0.25">
      <c r="H1427" s="14"/>
    </row>
    <row r="1428" spans="8:8" x14ac:dyDescent="0.25">
      <c r="H1428" s="14"/>
    </row>
    <row r="1429" spans="8:8" x14ac:dyDescent="0.25">
      <c r="H1429" s="14"/>
    </row>
    <row r="1430" spans="8:8" x14ac:dyDescent="0.25">
      <c r="H1430" s="14"/>
    </row>
    <row r="1431" spans="8:8" x14ac:dyDescent="0.25">
      <c r="H1431" s="14"/>
    </row>
    <row r="1432" spans="8:8" x14ac:dyDescent="0.25">
      <c r="H1432" s="14"/>
    </row>
    <row r="1433" spans="8:8" x14ac:dyDescent="0.25">
      <c r="H1433" s="14"/>
    </row>
    <row r="1434" spans="8:8" x14ac:dyDescent="0.25">
      <c r="H1434" s="14"/>
    </row>
    <row r="1435" spans="8:8" x14ac:dyDescent="0.25">
      <c r="H1435" s="14"/>
    </row>
    <row r="1436" spans="8:8" x14ac:dyDescent="0.25">
      <c r="H1436" s="14"/>
    </row>
    <row r="1437" spans="8:8" x14ac:dyDescent="0.25">
      <c r="H1437" s="14"/>
    </row>
    <row r="1438" spans="8:8" x14ac:dyDescent="0.25">
      <c r="H1438" s="14"/>
    </row>
    <row r="1439" spans="8:8" x14ac:dyDescent="0.25">
      <c r="H1439" s="14"/>
    </row>
    <row r="1440" spans="8:8" x14ac:dyDescent="0.25">
      <c r="H1440" s="14"/>
    </row>
    <row r="1441" spans="8:8" x14ac:dyDescent="0.25">
      <c r="H1441" s="14"/>
    </row>
    <row r="1442" spans="8:8" x14ac:dyDescent="0.25">
      <c r="H1442" s="14"/>
    </row>
    <row r="1443" spans="8:8" x14ac:dyDescent="0.25">
      <c r="H1443" s="14"/>
    </row>
    <row r="1444" spans="8:8" x14ac:dyDescent="0.25">
      <c r="H1444" s="14"/>
    </row>
    <row r="1445" spans="8:8" x14ac:dyDescent="0.25">
      <c r="H1445" s="14"/>
    </row>
    <row r="1446" spans="8:8" x14ac:dyDescent="0.25">
      <c r="H1446" s="14"/>
    </row>
    <row r="1447" spans="8:8" x14ac:dyDescent="0.25">
      <c r="H1447" s="14"/>
    </row>
    <row r="1448" spans="8:8" x14ac:dyDescent="0.25">
      <c r="H1448" s="14"/>
    </row>
    <row r="1449" spans="8:8" x14ac:dyDescent="0.25">
      <c r="H1449" s="14"/>
    </row>
    <row r="1450" spans="8:8" x14ac:dyDescent="0.25">
      <c r="H1450" s="14"/>
    </row>
    <row r="1451" spans="8:8" x14ac:dyDescent="0.25">
      <c r="H1451" s="14"/>
    </row>
    <row r="1452" spans="8:8" x14ac:dyDescent="0.25">
      <c r="H1452" s="14"/>
    </row>
    <row r="1453" spans="8:8" x14ac:dyDescent="0.25">
      <c r="H1453" s="14"/>
    </row>
    <row r="1454" spans="8:8" x14ac:dyDescent="0.25">
      <c r="H1454" s="14"/>
    </row>
    <row r="1455" spans="8:8" x14ac:dyDescent="0.25">
      <c r="H1455" s="14"/>
    </row>
    <row r="1456" spans="8:8" x14ac:dyDescent="0.25">
      <c r="H1456" s="14"/>
    </row>
    <row r="1457" spans="8:8" x14ac:dyDescent="0.25">
      <c r="H1457" s="14"/>
    </row>
    <row r="1458" spans="8:8" x14ac:dyDescent="0.25">
      <c r="H1458" s="14"/>
    </row>
    <row r="1459" spans="8:8" x14ac:dyDescent="0.25">
      <c r="H1459" s="14"/>
    </row>
    <row r="1460" spans="8:8" x14ac:dyDescent="0.25">
      <c r="H1460" s="14"/>
    </row>
    <row r="1461" spans="8:8" x14ac:dyDescent="0.25">
      <c r="H1461" s="14"/>
    </row>
    <row r="1462" spans="8:8" x14ac:dyDescent="0.25">
      <c r="H1462" s="14"/>
    </row>
    <row r="1463" spans="8:8" x14ac:dyDescent="0.25">
      <c r="H1463" s="14"/>
    </row>
    <row r="1464" spans="8:8" x14ac:dyDescent="0.25">
      <c r="H1464" s="14"/>
    </row>
    <row r="1465" spans="8:8" x14ac:dyDescent="0.25">
      <c r="H1465" s="14"/>
    </row>
    <row r="1466" spans="8:8" x14ac:dyDescent="0.25">
      <c r="H1466" s="14"/>
    </row>
    <row r="1467" spans="8:8" x14ac:dyDescent="0.25">
      <c r="H1467" s="14"/>
    </row>
    <row r="1468" spans="8:8" x14ac:dyDescent="0.25">
      <c r="H1468" s="14"/>
    </row>
    <row r="1469" spans="8:8" x14ac:dyDescent="0.25">
      <c r="H1469" s="14"/>
    </row>
    <row r="1470" spans="8:8" x14ac:dyDescent="0.25">
      <c r="H1470" s="14"/>
    </row>
    <row r="1471" spans="8:8" x14ac:dyDescent="0.25">
      <c r="H1471" s="14"/>
    </row>
    <row r="1472" spans="8:8" x14ac:dyDescent="0.25">
      <c r="H1472" s="14"/>
    </row>
    <row r="1473" spans="8:8" x14ac:dyDescent="0.25">
      <c r="H1473" s="14"/>
    </row>
    <row r="1474" spans="8:8" x14ac:dyDescent="0.25">
      <c r="H1474" s="14"/>
    </row>
    <row r="1475" spans="8:8" x14ac:dyDescent="0.25">
      <c r="H1475" s="14"/>
    </row>
    <row r="1476" spans="8:8" x14ac:dyDescent="0.25">
      <c r="H1476" s="14"/>
    </row>
    <row r="1477" spans="8:8" x14ac:dyDescent="0.25">
      <c r="H1477" s="14"/>
    </row>
    <row r="1478" spans="8:8" x14ac:dyDescent="0.25">
      <c r="H1478" s="14"/>
    </row>
    <row r="1479" spans="8:8" x14ac:dyDescent="0.25">
      <c r="H1479" s="14"/>
    </row>
    <row r="1480" spans="8:8" x14ac:dyDescent="0.25">
      <c r="H1480" s="14"/>
    </row>
    <row r="1481" spans="8:8" x14ac:dyDescent="0.25">
      <c r="H1481" s="14"/>
    </row>
    <row r="1482" spans="8:8" x14ac:dyDescent="0.25">
      <c r="H1482" s="14"/>
    </row>
    <row r="1483" spans="8:8" x14ac:dyDescent="0.25">
      <c r="H1483" s="14"/>
    </row>
    <row r="1484" spans="8:8" x14ac:dyDescent="0.25">
      <c r="H1484" s="14"/>
    </row>
    <row r="1485" spans="8:8" x14ac:dyDescent="0.25">
      <c r="H1485" s="14"/>
    </row>
    <row r="1486" spans="8:8" x14ac:dyDescent="0.25">
      <c r="H1486" s="14"/>
    </row>
    <row r="1487" spans="8:8" x14ac:dyDescent="0.25">
      <c r="H1487" s="14"/>
    </row>
    <row r="1488" spans="8:8" x14ac:dyDescent="0.25">
      <c r="H1488" s="14"/>
    </row>
    <row r="1489" spans="8:8" x14ac:dyDescent="0.25">
      <c r="H1489" s="14"/>
    </row>
    <row r="1490" spans="8:8" x14ac:dyDescent="0.25">
      <c r="H1490" s="14"/>
    </row>
    <row r="1491" spans="8:8" x14ac:dyDescent="0.25">
      <c r="H1491" s="14"/>
    </row>
    <row r="1492" spans="8:8" x14ac:dyDescent="0.25">
      <c r="H1492" s="14"/>
    </row>
    <row r="1493" spans="8:8" x14ac:dyDescent="0.25">
      <c r="H1493" s="14"/>
    </row>
    <row r="1494" spans="8:8" x14ac:dyDescent="0.25">
      <c r="H1494" s="14"/>
    </row>
    <row r="1495" spans="8:8" x14ac:dyDescent="0.25">
      <c r="H1495" s="14"/>
    </row>
    <row r="1496" spans="8:8" x14ac:dyDescent="0.25">
      <c r="H1496" s="14"/>
    </row>
    <row r="1497" spans="8:8" x14ac:dyDescent="0.25">
      <c r="H1497" s="14"/>
    </row>
    <row r="1498" spans="8:8" x14ac:dyDescent="0.25">
      <c r="H1498" s="14"/>
    </row>
    <row r="1499" spans="8:8" x14ac:dyDescent="0.25">
      <c r="H1499" s="14"/>
    </row>
    <row r="1500" spans="8:8" x14ac:dyDescent="0.25">
      <c r="H1500" s="14"/>
    </row>
    <row r="1501" spans="8:8" x14ac:dyDescent="0.25">
      <c r="H1501" s="14"/>
    </row>
    <row r="1502" spans="8:8" x14ac:dyDescent="0.25">
      <c r="H1502" s="14"/>
    </row>
    <row r="1503" spans="8:8" x14ac:dyDescent="0.25">
      <c r="H1503" s="14"/>
    </row>
    <row r="1504" spans="8:8" x14ac:dyDescent="0.25">
      <c r="H1504" s="14"/>
    </row>
    <row r="1505" spans="8:8" x14ac:dyDescent="0.25">
      <c r="H1505" s="14"/>
    </row>
    <row r="1506" spans="8:8" x14ac:dyDescent="0.25">
      <c r="H1506" s="14"/>
    </row>
    <row r="1507" spans="8:8" x14ac:dyDescent="0.25">
      <c r="H1507" s="14"/>
    </row>
    <row r="1508" spans="8:8" x14ac:dyDescent="0.25">
      <c r="H1508" s="14"/>
    </row>
    <row r="1509" spans="8:8" x14ac:dyDescent="0.25">
      <c r="H1509" s="14"/>
    </row>
    <row r="1510" spans="8:8" x14ac:dyDescent="0.25">
      <c r="H1510" s="14"/>
    </row>
    <row r="1511" spans="8:8" x14ac:dyDescent="0.25">
      <c r="H1511" s="14"/>
    </row>
    <row r="1512" spans="8:8" x14ac:dyDescent="0.25">
      <c r="H1512" s="14"/>
    </row>
    <row r="1513" spans="8:8" x14ac:dyDescent="0.25">
      <c r="H1513" s="14"/>
    </row>
    <row r="1514" spans="8:8" x14ac:dyDescent="0.25">
      <c r="H1514" s="14"/>
    </row>
    <row r="1515" spans="8:8" x14ac:dyDescent="0.25">
      <c r="H1515" s="14"/>
    </row>
    <row r="1516" spans="8:8" x14ac:dyDescent="0.25">
      <c r="H1516" s="14"/>
    </row>
    <row r="1517" spans="8:8" x14ac:dyDescent="0.25">
      <c r="H1517" s="14"/>
    </row>
    <row r="1518" spans="8:8" x14ac:dyDescent="0.25">
      <c r="H1518" s="14"/>
    </row>
    <row r="1519" spans="8:8" x14ac:dyDescent="0.25">
      <c r="H1519" s="14"/>
    </row>
    <row r="1520" spans="8:8" x14ac:dyDescent="0.25">
      <c r="H1520" s="14"/>
    </row>
    <row r="1521" spans="8:8" x14ac:dyDescent="0.25">
      <c r="H1521" s="14"/>
    </row>
    <row r="1522" spans="8:8" x14ac:dyDescent="0.25">
      <c r="H1522" s="14"/>
    </row>
    <row r="1523" spans="8:8" x14ac:dyDescent="0.25">
      <c r="H1523" s="14"/>
    </row>
    <row r="1524" spans="8:8" x14ac:dyDescent="0.25">
      <c r="H1524" s="14"/>
    </row>
    <row r="1525" spans="8:8" x14ac:dyDescent="0.25">
      <c r="H1525" s="14"/>
    </row>
    <row r="1526" spans="8:8" x14ac:dyDescent="0.25">
      <c r="H1526" s="14"/>
    </row>
    <row r="1527" spans="8:8" x14ac:dyDescent="0.25">
      <c r="H1527" s="14"/>
    </row>
    <row r="1528" spans="8:8" x14ac:dyDescent="0.25">
      <c r="H1528" s="14"/>
    </row>
    <row r="1529" spans="8:8" x14ac:dyDescent="0.25">
      <c r="H1529" s="14"/>
    </row>
    <row r="1530" spans="8:8" x14ac:dyDescent="0.25">
      <c r="H1530" s="14"/>
    </row>
    <row r="1531" spans="8:8" x14ac:dyDescent="0.25">
      <c r="H1531" s="14"/>
    </row>
    <row r="1532" spans="8:8" x14ac:dyDescent="0.25">
      <c r="H1532" s="14"/>
    </row>
    <row r="1533" spans="8:8" x14ac:dyDescent="0.25">
      <c r="H1533" s="14"/>
    </row>
    <row r="1534" spans="8:8" x14ac:dyDescent="0.25">
      <c r="H1534" s="14"/>
    </row>
    <row r="1535" spans="8:8" x14ac:dyDescent="0.25">
      <c r="H1535" s="14"/>
    </row>
    <row r="1536" spans="8:8" x14ac:dyDescent="0.25">
      <c r="H1536" s="14"/>
    </row>
    <row r="1537" spans="8:8" x14ac:dyDescent="0.25">
      <c r="H1537" s="14"/>
    </row>
    <row r="1538" spans="8:8" x14ac:dyDescent="0.25">
      <c r="H1538" s="14"/>
    </row>
    <row r="1539" spans="8:8" x14ac:dyDescent="0.25">
      <c r="H1539" s="14"/>
    </row>
    <row r="1540" spans="8:8" x14ac:dyDescent="0.25">
      <c r="H1540" s="14"/>
    </row>
    <row r="1541" spans="8:8" x14ac:dyDescent="0.25">
      <c r="H1541" s="14"/>
    </row>
    <row r="1542" spans="8:8" x14ac:dyDescent="0.25">
      <c r="H1542" s="14"/>
    </row>
    <row r="1543" spans="8:8" x14ac:dyDescent="0.25">
      <c r="H1543" s="14"/>
    </row>
    <row r="1544" spans="8:8" x14ac:dyDescent="0.25">
      <c r="H1544" s="14"/>
    </row>
    <row r="1545" spans="8:8" x14ac:dyDescent="0.25">
      <c r="H1545" s="14"/>
    </row>
    <row r="1546" spans="8:8" x14ac:dyDescent="0.25">
      <c r="H1546" s="14"/>
    </row>
    <row r="1547" spans="8:8" x14ac:dyDescent="0.25">
      <c r="H1547" s="14"/>
    </row>
    <row r="1548" spans="8:8" x14ac:dyDescent="0.25">
      <c r="H1548" s="14"/>
    </row>
    <row r="1549" spans="8:8" x14ac:dyDescent="0.25">
      <c r="H1549" s="14"/>
    </row>
    <row r="1550" spans="8:8" x14ac:dyDescent="0.25">
      <c r="H1550" s="14"/>
    </row>
    <row r="1551" spans="8:8" x14ac:dyDescent="0.25">
      <c r="H1551" s="14"/>
    </row>
    <row r="1552" spans="8:8" x14ac:dyDescent="0.25">
      <c r="H1552" s="14"/>
    </row>
    <row r="1553" spans="8:8" x14ac:dyDescent="0.25">
      <c r="H1553" s="14"/>
    </row>
    <row r="1554" spans="8:8" x14ac:dyDescent="0.25">
      <c r="H1554" s="14"/>
    </row>
    <row r="1555" spans="8:8" x14ac:dyDescent="0.25">
      <c r="H1555" s="14"/>
    </row>
    <row r="1556" spans="8:8" x14ac:dyDescent="0.25">
      <c r="H1556" s="14"/>
    </row>
    <row r="1557" spans="8:8" x14ac:dyDescent="0.25">
      <c r="H1557" s="14"/>
    </row>
    <row r="1558" spans="8:8" x14ac:dyDescent="0.25">
      <c r="H1558" s="14"/>
    </row>
    <row r="1559" spans="8:8" x14ac:dyDescent="0.25">
      <c r="H1559" s="14"/>
    </row>
    <row r="1560" spans="8:8" x14ac:dyDescent="0.25">
      <c r="H1560" s="14"/>
    </row>
    <row r="1561" spans="8:8" x14ac:dyDescent="0.25">
      <c r="H1561" s="14"/>
    </row>
    <row r="1562" spans="8:8" x14ac:dyDescent="0.25">
      <c r="H1562" s="14"/>
    </row>
    <row r="1563" spans="8:8" x14ac:dyDescent="0.25">
      <c r="H1563" s="14"/>
    </row>
    <row r="1564" spans="8:8" x14ac:dyDescent="0.25">
      <c r="H1564" s="14"/>
    </row>
    <row r="1565" spans="8:8" x14ac:dyDescent="0.25">
      <c r="H1565" s="14"/>
    </row>
    <row r="1566" spans="8:8" x14ac:dyDescent="0.25">
      <c r="H1566" s="14"/>
    </row>
    <row r="1567" spans="8:8" x14ac:dyDescent="0.25">
      <c r="H1567" s="14"/>
    </row>
    <row r="1568" spans="8:8" x14ac:dyDescent="0.25">
      <c r="H1568" s="14"/>
    </row>
    <row r="1569" spans="8:8" x14ac:dyDescent="0.25">
      <c r="H1569" s="14"/>
    </row>
    <row r="1570" spans="8:8" x14ac:dyDescent="0.25">
      <c r="H1570" s="14"/>
    </row>
    <row r="1571" spans="8:8" x14ac:dyDescent="0.25">
      <c r="H1571" s="14"/>
    </row>
    <row r="1572" spans="8:8" x14ac:dyDescent="0.25">
      <c r="H1572" s="14"/>
    </row>
    <row r="1573" spans="8:8" x14ac:dyDescent="0.25">
      <c r="H1573" s="14"/>
    </row>
    <row r="1574" spans="8:8" x14ac:dyDescent="0.25">
      <c r="H1574" s="14"/>
    </row>
    <row r="1575" spans="8:8" x14ac:dyDescent="0.25">
      <c r="H1575" s="14"/>
    </row>
    <row r="1576" spans="8:8" x14ac:dyDescent="0.25">
      <c r="H1576" s="14"/>
    </row>
    <row r="1577" spans="8:8" x14ac:dyDescent="0.25">
      <c r="H1577" s="14"/>
    </row>
    <row r="1578" spans="8:8" x14ac:dyDescent="0.25">
      <c r="H1578" s="14"/>
    </row>
    <row r="1579" spans="8:8" x14ac:dyDescent="0.25">
      <c r="H1579" s="14"/>
    </row>
    <row r="1580" spans="8:8" x14ac:dyDescent="0.25">
      <c r="H1580" s="14"/>
    </row>
    <row r="1581" spans="8:8" x14ac:dyDescent="0.25">
      <c r="H1581" s="14"/>
    </row>
    <row r="1582" spans="8:8" x14ac:dyDescent="0.25">
      <c r="H1582" s="14"/>
    </row>
    <row r="1583" spans="8:8" x14ac:dyDescent="0.25">
      <c r="H1583" s="14"/>
    </row>
    <row r="1584" spans="8:8" x14ac:dyDescent="0.25">
      <c r="H1584" s="14"/>
    </row>
    <row r="1585" spans="8:8" x14ac:dyDescent="0.25">
      <c r="H1585" s="14"/>
    </row>
    <row r="1586" spans="8:8" x14ac:dyDescent="0.25">
      <c r="H1586" s="14"/>
    </row>
    <row r="1587" spans="8:8" x14ac:dyDescent="0.25">
      <c r="H1587" s="14"/>
    </row>
    <row r="1588" spans="8:8" x14ac:dyDescent="0.25">
      <c r="H1588" s="14"/>
    </row>
    <row r="1589" spans="8:8" x14ac:dyDescent="0.25">
      <c r="H1589" s="14"/>
    </row>
    <row r="1590" spans="8:8" x14ac:dyDescent="0.25">
      <c r="H1590" s="14"/>
    </row>
    <row r="1591" spans="8:8" x14ac:dyDescent="0.25">
      <c r="H1591" s="14"/>
    </row>
    <row r="1592" spans="8:8" x14ac:dyDescent="0.25">
      <c r="H1592" s="14"/>
    </row>
    <row r="1593" spans="8:8" x14ac:dyDescent="0.25">
      <c r="H1593" s="14"/>
    </row>
    <row r="1594" spans="8:8" x14ac:dyDescent="0.25">
      <c r="H1594" s="14"/>
    </row>
    <row r="1595" spans="8:8" x14ac:dyDescent="0.25">
      <c r="H1595" s="14"/>
    </row>
    <row r="1596" spans="8:8" x14ac:dyDescent="0.25">
      <c r="H1596" s="14"/>
    </row>
    <row r="1597" spans="8:8" x14ac:dyDescent="0.25">
      <c r="H1597" s="14"/>
    </row>
    <row r="1598" spans="8:8" x14ac:dyDescent="0.25">
      <c r="H1598" s="14"/>
    </row>
    <row r="1599" spans="8:8" x14ac:dyDescent="0.25">
      <c r="H1599" s="14"/>
    </row>
    <row r="1600" spans="8:8" x14ac:dyDescent="0.25">
      <c r="H1600" s="14"/>
    </row>
    <row r="1601" spans="8:8" x14ac:dyDescent="0.25">
      <c r="H1601" s="14"/>
    </row>
    <row r="1602" spans="8:8" x14ac:dyDescent="0.25">
      <c r="H1602" s="14"/>
    </row>
    <row r="1603" spans="8:8" x14ac:dyDescent="0.25">
      <c r="H1603" s="14"/>
    </row>
    <row r="1604" spans="8:8" x14ac:dyDescent="0.25">
      <c r="H1604" s="14"/>
    </row>
    <row r="1605" spans="8:8" x14ac:dyDescent="0.25">
      <c r="H1605" s="14"/>
    </row>
    <row r="1606" spans="8:8" x14ac:dyDescent="0.25">
      <c r="H1606" s="14"/>
    </row>
    <row r="1607" spans="8:8" x14ac:dyDescent="0.25">
      <c r="H1607" s="14"/>
    </row>
    <row r="1608" spans="8:8" x14ac:dyDescent="0.25">
      <c r="H1608" s="14"/>
    </row>
    <row r="1609" spans="8:8" x14ac:dyDescent="0.25">
      <c r="H1609" s="14"/>
    </row>
    <row r="1610" spans="8:8" x14ac:dyDescent="0.25">
      <c r="H1610" s="14"/>
    </row>
    <row r="1611" spans="8:8" x14ac:dyDescent="0.25">
      <c r="H1611" s="14"/>
    </row>
    <row r="1612" spans="8:8" x14ac:dyDescent="0.25">
      <c r="H1612" s="14"/>
    </row>
    <row r="1613" spans="8:8" x14ac:dyDescent="0.25">
      <c r="H1613" s="14"/>
    </row>
    <row r="1614" spans="8:8" x14ac:dyDescent="0.25">
      <c r="H1614" s="14"/>
    </row>
    <row r="1615" spans="8:8" x14ac:dyDescent="0.25">
      <c r="H1615" s="14"/>
    </row>
    <row r="1616" spans="8:8" x14ac:dyDescent="0.25">
      <c r="H1616" s="14"/>
    </row>
    <row r="1617" spans="8:8" x14ac:dyDescent="0.25">
      <c r="H1617" s="14"/>
    </row>
    <row r="1618" spans="8:8" x14ac:dyDescent="0.25">
      <c r="H1618" s="14"/>
    </row>
    <row r="1619" spans="8:8" x14ac:dyDescent="0.25">
      <c r="H1619" s="14"/>
    </row>
    <row r="1620" spans="8:8" x14ac:dyDescent="0.25">
      <c r="H1620" s="14"/>
    </row>
    <row r="1621" spans="8:8" x14ac:dyDescent="0.25">
      <c r="H1621" s="14"/>
    </row>
    <row r="1622" spans="8:8" x14ac:dyDescent="0.25">
      <c r="H1622" s="14"/>
    </row>
    <row r="1623" spans="8:8" x14ac:dyDescent="0.25">
      <c r="H1623" s="14"/>
    </row>
    <row r="1624" spans="8:8" x14ac:dyDescent="0.25">
      <c r="H1624" s="14"/>
    </row>
    <row r="1625" spans="8:8" x14ac:dyDescent="0.25">
      <c r="H1625" s="14"/>
    </row>
    <row r="1626" spans="8:8" x14ac:dyDescent="0.25">
      <c r="H1626" s="14"/>
    </row>
    <row r="1627" spans="8:8" x14ac:dyDescent="0.25">
      <c r="H1627" s="14"/>
    </row>
    <row r="1628" spans="8:8" x14ac:dyDescent="0.25">
      <c r="H1628" s="14"/>
    </row>
    <row r="1629" spans="8:8" x14ac:dyDescent="0.25">
      <c r="H1629" s="14"/>
    </row>
    <row r="1630" spans="8:8" x14ac:dyDescent="0.25">
      <c r="H1630" s="14"/>
    </row>
    <row r="1631" spans="8:8" x14ac:dyDescent="0.25">
      <c r="H1631" s="14"/>
    </row>
    <row r="1632" spans="8:8" x14ac:dyDescent="0.25">
      <c r="H1632" s="14"/>
    </row>
    <row r="1633" spans="8:8" x14ac:dyDescent="0.25">
      <c r="H1633" s="14"/>
    </row>
    <row r="1634" spans="8:8" x14ac:dyDescent="0.25">
      <c r="H1634" s="14"/>
    </row>
    <row r="1635" spans="8:8" x14ac:dyDescent="0.25">
      <c r="H1635" s="14"/>
    </row>
    <row r="1636" spans="8:8" x14ac:dyDescent="0.25">
      <c r="H1636" s="14"/>
    </row>
    <row r="1637" spans="8:8" x14ac:dyDescent="0.25">
      <c r="H1637" s="14"/>
    </row>
    <row r="1638" spans="8:8" x14ac:dyDescent="0.25">
      <c r="H1638" s="14"/>
    </row>
    <row r="1639" spans="8:8" x14ac:dyDescent="0.25">
      <c r="H1639" s="14"/>
    </row>
    <row r="1640" spans="8:8" x14ac:dyDescent="0.25">
      <c r="H1640" s="14"/>
    </row>
    <row r="1641" spans="8:8" x14ac:dyDescent="0.25">
      <c r="H1641" s="14"/>
    </row>
    <row r="1642" spans="8:8" x14ac:dyDescent="0.25">
      <c r="H1642" s="14"/>
    </row>
    <row r="1643" spans="8:8" x14ac:dyDescent="0.25">
      <c r="H1643" s="14"/>
    </row>
    <row r="1644" spans="8:8" x14ac:dyDescent="0.25">
      <c r="H1644" s="14"/>
    </row>
    <row r="1645" spans="8:8" x14ac:dyDescent="0.25">
      <c r="H1645" s="14"/>
    </row>
    <row r="1646" spans="8:8" x14ac:dyDescent="0.25">
      <c r="H1646" s="14"/>
    </row>
    <row r="1647" spans="8:8" x14ac:dyDescent="0.25">
      <c r="H1647" s="14"/>
    </row>
    <row r="1648" spans="8:8" x14ac:dyDescent="0.25">
      <c r="H1648" s="14"/>
    </row>
    <row r="1649" spans="8:8" x14ac:dyDescent="0.25">
      <c r="H1649" s="14"/>
    </row>
    <row r="1650" spans="8:8" x14ac:dyDescent="0.25">
      <c r="H1650" s="14"/>
    </row>
    <row r="1651" spans="8:8" x14ac:dyDescent="0.25">
      <c r="H1651" s="14"/>
    </row>
    <row r="1652" spans="8:8" x14ac:dyDescent="0.25">
      <c r="H1652" s="14"/>
    </row>
    <row r="1653" spans="8:8" x14ac:dyDescent="0.25">
      <c r="H1653" s="14"/>
    </row>
    <row r="1654" spans="8:8" x14ac:dyDescent="0.25">
      <c r="H1654" s="14"/>
    </row>
    <row r="1655" spans="8:8" x14ac:dyDescent="0.25">
      <c r="H1655" s="14"/>
    </row>
    <row r="1656" spans="8:8" x14ac:dyDescent="0.25">
      <c r="H1656" s="14"/>
    </row>
    <row r="1657" spans="8:8" x14ac:dyDescent="0.25">
      <c r="H1657" s="14"/>
    </row>
    <row r="1658" spans="8:8" x14ac:dyDescent="0.25">
      <c r="H1658" s="14"/>
    </row>
    <row r="1659" spans="8:8" x14ac:dyDescent="0.25">
      <c r="H1659" s="14"/>
    </row>
    <row r="1660" spans="8:8" x14ac:dyDescent="0.25">
      <c r="H1660" s="14"/>
    </row>
    <row r="1661" spans="8:8" x14ac:dyDescent="0.25">
      <c r="H1661" s="14"/>
    </row>
    <row r="1662" spans="8:8" x14ac:dyDescent="0.25">
      <c r="H1662" s="14"/>
    </row>
    <row r="1663" spans="8:8" x14ac:dyDescent="0.25">
      <c r="H1663" s="14"/>
    </row>
    <row r="1664" spans="8:8" x14ac:dyDescent="0.25">
      <c r="H1664" s="14"/>
    </row>
    <row r="1665" spans="8:8" x14ac:dyDescent="0.25">
      <c r="H1665" s="14"/>
    </row>
    <row r="1666" spans="8:8" x14ac:dyDescent="0.25">
      <c r="H1666" s="14"/>
    </row>
    <row r="1667" spans="8:8" x14ac:dyDescent="0.25">
      <c r="H1667" s="14"/>
    </row>
    <row r="1668" spans="8:8" x14ac:dyDescent="0.25">
      <c r="H1668" s="14"/>
    </row>
    <row r="1669" spans="8:8" x14ac:dyDescent="0.25">
      <c r="H1669" s="14"/>
    </row>
    <row r="1670" spans="8:8" x14ac:dyDescent="0.25">
      <c r="H1670" s="14"/>
    </row>
    <row r="1671" spans="8:8" x14ac:dyDescent="0.25">
      <c r="H1671" s="14"/>
    </row>
    <row r="1672" spans="8:8" x14ac:dyDescent="0.25">
      <c r="H1672" s="14"/>
    </row>
    <row r="1673" spans="8:8" x14ac:dyDescent="0.25">
      <c r="H1673" s="14"/>
    </row>
    <row r="1674" spans="8:8" x14ac:dyDescent="0.25">
      <c r="H1674" s="14"/>
    </row>
    <row r="1675" spans="8:8" x14ac:dyDescent="0.25">
      <c r="H1675" s="14"/>
    </row>
    <row r="1676" spans="8:8" x14ac:dyDescent="0.25">
      <c r="H1676" s="14"/>
    </row>
    <row r="1677" spans="8:8" x14ac:dyDescent="0.25">
      <c r="H1677" s="14"/>
    </row>
    <row r="1678" spans="8:8" x14ac:dyDescent="0.25">
      <c r="H1678" s="14"/>
    </row>
    <row r="1679" spans="8:8" x14ac:dyDescent="0.25">
      <c r="H1679" s="14"/>
    </row>
    <row r="1680" spans="8:8" x14ac:dyDescent="0.25">
      <c r="H1680" s="14"/>
    </row>
    <row r="1681" spans="8:8" x14ac:dyDescent="0.25">
      <c r="H1681" s="14"/>
    </row>
    <row r="1682" spans="8:8" x14ac:dyDescent="0.25">
      <c r="H1682" s="14"/>
    </row>
    <row r="1683" spans="8:8" x14ac:dyDescent="0.25">
      <c r="H1683" s="14"/>
    </row>
    <row r="1684" spans="8:8" x14ac:dyDescent="0.25">
      <c r="H1684" s="14"/>
    </row>
    <row r="1685" spans="8:8" x14ac:dyDescent="0.25">
      <c r="H1685" s="14"/>
    </row>
    <row r="1686" spans="8:8" x14ac:dyDescent="0.25">
      <c r="H1686" s="14"/>
    </row>
    <row r="1687" spans="8:8" x14ac:dyDescent="0.25">
      <c r="H1687" s="14"/>
    </row>
    <row r="1688" spans="8:8" x14ac:dyDescent="0.25">
      <c r="H1688" s="14"/>
    </row>
    <row r="1689" spans="8:8" x14ac:dyDescent="0.25">
      <c r="H1689" s="14"/>
    </row>
    <row r="1690" spans="8:8" x14ac:dyDescent="0.25">
      <c r="H1690" s="14"/>
    </row>
    <row r="1691" spans="8:8" x14ac:dyDescent="0.25">
      <c r="H1691" s="14"/>
    </row>
    <row r="1692" spans="8:8" x14ac:dyDescent="0.25">
      <c r="H1692" s="14"/>
    </row>
    <row r="1693" spans="8:8" x14ac:dyDescent="0.25">
      <c r="H1693" s="14"/>
    </row>
    <row r="1694" spans="8:8" x14ac:dyDescent="0.25">
      <c r="H1694" s="14"/>
    </row>
    <row r="1695" spans="8:8" x14ac:dyDescent="0.25">
      <c r="H1695" s="14"/>
    </row>
    <row r="1696" spans="8:8" x14ac:dyDescent="0.25">
      <c r="H1696" s="14"/>
    </row>
    <row r="1697" spans="8:8" x14ac:dyDescent="0.25">
      <c r="H1697" s="14"/>
    </row>
    <row r="1698" spans="8:8" x14ac:dyDescent="0.25">
      <c r="H1698" s="14"/>
    </row>
    <row r="1699" spans="8:8" x14ac:dyDescent="0.25">
      <c r="H1699" s="14"/>
    </row>
    <row r="1700" spans="8:8" x14ac:dyDescent="0.25">
      <c r="H1700" s="14"/>
    </row>
    <row r="1701" spans="8:8" x14ac:dyDescent="0.25">
      <c r="H1701" s="14"/>
    </row>
    <row r="1702" spans="8:8" x14ac:dyDescent="0.25">
      <c r="H1702" s="14"/>
    </row>
    <row r="1703" spans="8:8" x14ac:dyDescent="0.25">
      <c r="H1703" s="14"/>
    </row>
    <row r="1704" spans="8:8" x14ac:dyDescent="0.25">
      <c r="H1704" s="14"/>
    </row>
    <row r="1705" spans="8:8" x14ac:dyDescent="0.25">
      <c r="H1705" s="14"/>
    </row>
    <row r="1706" spans="8:8" x14ac:dyDescent="0.25">
      <c r="H1706" s="14"/>
    </row>
    <row r="1707" spans="8:8" x14ac:dyDescent="0.25">
      <c r="H1707" s="14"/>
    </row>
    <row r="1708" spans="8:8" x14ac:dyDescent="0.25">
      <c r="H1708" s="14"/>
    </row>
    <row r="1709" spans="8:8" x14ac:dyDescent="0.25">
      <c r="H1709" s="14"/>
    </row>
    <row r="1710" spans="8:8" x14ac:dyDescent="0.25">
      <c r="H1710" s="14"/>
    </row>
    <row r="1711" spans="8:8" x14ac:dyDescent="0.25">
      <c r="H1711" s="14"/>
    </row>
    <row r="1712" spans="8:8" x14ac:dyDescent="0.25">
      <c r="H1712" s="14"/>
    </row>
    <row r="1713" spans="8:8" x14ac:dyDescent="0.25">
      <c r="H1713" s="14"/>
    </row>
    <row r="1714" spans="8:8" x14ac:dyDescent="0.25">
      <c r="H1714" s="14"/>
    </row>
    <row r="1715" spans="8:8" x14ac:dyDescent="0.25">
      <c r="H1715" s="14"/>
    </row>
    <row r="1716" spans="8:8" x14ac:dyDescent="0.25">
      <c r="H1716" s="14"/>
    </row>
    <row r="1717" spans="8:8" x14ac:dyDescent="0.25">
      <c r="H1717" s="14"/>
    </row>
    <row r="1718" spans="8:8" x14ac:dyDescent="0.25">
      <c r="H1718" s="14"/>
    </row>
    <row r="1719" spans="8:8" x14ac:dyDescent="0.25">
      <c r="H1719" s="14"/>
    </row>
    <row r="1720" spans="8:8" x14ac:dyDescent="0.25">
      <c r="H1720" s="14"/>
    </row>
    <row r="1721" spans="8:8" x14ac:dyDescent="0.25">
      <c r="H1721" s="14"/>
    </row>
    <row r="1722" spans="8:8" x14ac:dyDescent="0.25">
      <c r="H1722" s="14"/>
    </row>
    <row r="1723" spans="8:8" x14ac:dyDescent="0.25">
      <c r="H1723" s="14"/>
    </row>
    <row r="1724" spans="8:8" x14ac:dyDescent="0.25">
      <c r="H1724" s="14"/>
    </row>
    <row r="1725" spans="8:8" x14ac:dyDescent="0.25">
      <c r="H1725" s="14"/>
    </row>
    <row r="1726" spans="8:8" x14ac:dyDescent="0.25">
      <c r="H1726" s="14"/>
    </row>
    <row r="1727" spans="8:8" x14ac:dyDescent="0.25">
      <c r="H1727" s="14"/>
    </row>
    <row r="1728" spans="8:8" x14ac:dyDescent="0.25">
      <c r="H1728" s="14"/>
    </row>
    <row r="1729" spans="8:8" x14ac:dyDescent="0.25">
      <c r="H1729" s="14"/>
    </row>
    <row r="1730" spans="8:8" x14ac:dyDescent="0.25">
      <c r="H1730" s="14"/>
    </row>
    <row r="1731" spans="8:8" x14ac:dyDescent="0.25">
      <c r="H1731" s="14"/>
    </row>
    <row r="1732" spans="8:8" x14ac:dyDescent="0.25">
      <c r="H1732" s="14"/>
    </row>
    <row r="1733" spans="8:8" x14ac:dyDescent="0.25">
      <c r="H1733" s="14"/>
    </row>
    <row r="1734" spans="8:8" x14ac:dyDescent="0.25">
      <c r="H1734" s="14"/>
    </row>
    <row r="1735" spans="8:8" x14ac:dyDescent="0.25">
      <c r="H1735" s="14"/>
    </row>
    <row r="1736" spans="8:8" x14ac:dyDescent="0.25">
      <c r="H1736" s="14"/>
    </row>
    <row r="1737" spans="8:8" x14ac:dyDescent="0.25">
      <c r="H1737" s="14"/>
    </row>
    <row r="1738" spans="8:8" x14ac:dyDescent="0.25">
      <c r="H1738" s="14"/>
    </row>
    <row r="1739" spans="8:8" x14ac:dyDescent="0.25">
      <c r="H1739" s="14"/>
    </row>
    <row r="1740" spans="8:8" x14ac:dyDescent="0.25">
      <c r="H1740" s="14"/>
    </row>
    <row r="1741" spans="8:8" x14ac:dyDescent="0.25">
      <c r="H1741" s="14"/>
    </row>
    <row r="1742" spans="8:8" x14ac:dyDescent="0.25">
      <c r="H1742" s="14"/>
    </row>
    <row r="1743" spans="8:8" x14ac:dyDescent="0.25">
      <c r="H1743" s="14"/>
    </row>
    <row r="1744" spans="8:8" x14ac:dyDescent="0.25">
      <c r="H1744" s="14"/>
    </row>
    <row r="1745" spans="8:8" x14ac:dyDescent="0.25">
      <c r="H1745" s="14"/>
    </row>
    <row r="1746" spans="8:8" x14ac:dyDescent="0.25">
      <c r="H1746" s="14"/>
    </row>
    <row r="1747" spans="8:8" x14ac:dyDescent="0.25">
      <c r="H1747" s="14"/>
    </row>
    <row r="1748" spans="8:8" x14ac:dyDescent="0.25">
      <c r="H1748" s="14"/>
    </row>
    <row r="1749" spans="8:8" x14ac:dyDescent="0.25">
      <c r="H1749" s="14"/>
    </row>
    <row r="1750" spans="8:8" x14ac:dyDescent="0.25">
      <c r="H1750" s="14"/>
    </row>
    <row r="1751" spans="8:8" x14ac:dyDescent="0.25">
      <c r="H1751" s="14"/>
    </row>
    <row r="1752" spans="8:8" x14ac:dyDescent="0.25">
      <c r="H1752" s="14"/>
    </row>
    <row r="1753" spans="8:8" x14ac:dyDescent="0.25">
      <c r="H1753" s="14"/>
    </row>
    <row r="1754" spans="8:8" x14ac:dyDescent="0.25">
      <c r="H1754" s="14"/>
    </row>
    <row r="1755" spans="8:8" x14ac:dyDescent="0.25">
      <c r="H1755" s="14"/>
    </row>
    <row r="1756" spans="8:8" x14ac:dyDescent="0.25">
      <c r="H1756" s="14"/>
    </row>
    <row r="1757" spans="8:8" x14ac:dyDescent="0.25">
      <c r="H1757" s="14"/>
    </row>
    <row r="1758" spans="8:8" x14ac:dyDescent="0.25">
      <c r="H1758" s="14"/>
    </row>
    <row r="1759" spans="8:8" x14ac:dyDescent="0.25">
      <c r="H1759" s="14"/>
    </row>
    <row r="1760" spans="8:8" x14ac:dyDescent="0.25">
      <c r="H1760" s="14"/>
    </row>
    <row r="1761" spans="8:8" x14ac:dyDescent="0.25">
      <c r="H1761" s="14"/>
    </row>
    <row r="1762" spans="8:8" x14ac:dyDescent="0.25">
      <c r="H1762" s="14"/>
    </row>
    <row r="1763" spans="8:8" x14ac:dyDescent="0.25">
      <c r="H1763" s="14"/>
    </row>
    <row r="1764" spans="8:8" x14ac:dyDescent="0.25">
      <c r="H1764" s="14"/>
    </row>
    <row r="1765" spans="8:8" x14ac:dyDescent="0.25">
      <c r="H1765" s="14"/>
    </row>
    <row r="1766" spans="8:8" x14ac:dyDescent="0.25">
      <c r="H1766" s="14"/>
    </row>
    <row r="1767" spans="8:8" x14ac:dyDescent="0.25">
      <c r="H1767" s="14"/>
    </row>
    <row r="1768" spans="8:8" x14ac:dyDescent="0.25">
      <c r="H1768" s="14"/>
    </row>
    <row r="1769" spans="8:8" x14ac:dyDescent="0.25">
      <c r="H1769" s="14"/>
    </row>
    <row r="1770" spans="8:8" x14ac:dyDescent="0.25">
      <c r="H1770" s="14"/>
    </row>
    <row r="1771" spans="8:8" x14ac:dyDescent="0.25">
      <c r="H1771" s="14"/>
    </row>
    <row r="1772" spans="8:8" x14ac:dyDescent="0.25">
      <c r="H1772" s="14"/>
    </row>
    <row r="1773" spans="8:8" x14ac:dyDescent="0.25">
      <c r="H1773" s="14"/>
    </row>
    <row r="1774" spans="8:8" x14ac:dyDescent="0.25">
      <c r="H1774" s="14"/>
    </row>
    <row r="1775" spans="8:8" x14ac:dyDescent="0.25">
      <c r="H1775" s="14"/>
    </row>
    <row r="1776" spans="8:8" x14ac:dyDescent="0.25">
      <c r="H1776" s="14"/>
    </row>
    <row r="1777" spans="8:8" x14ac:dyDescent="0.25">
      <c r="H1777" s="14"/>
    </row>
    <row r="1778" spans="8:8" x14ac:dyDescent="0.25">
      <c r="H1778" s="14"/>
    </row>
    <row r="1779" spans="8:8" x14ac:dyDescent="0.25">
      <c r="H1779" s="14"/>
    </row>
    <row r="1780" spans="8:8" x14ac:dyDescent="0.25">
      <c r="H1780" s="14"/>
    </row>
    <row r="1781" spans="8:8" x14ac:dyDescent="0.25">
      <c r="H1781" s="14"/>
    </row>
    <row r="1782" spans="8:8" x14ac:dyDescent="0.25">
      <c r="H1782" s="14"/>
    </row>
    <row r="1783" spans="8:8" x14ac:dyDescent="0.25">
      <c r="H1783" s="14"/>
    </row>
    <row r="1784" spans="8:8" x14ac:dyDescent="0.25">
      <c r="H1784" s="14"/>
    </row>
    <row r="1785" spans="8:8" x14ac:dyDescent="0.25">
      <c r="H1785" s="14"/>
    </row>
    <row r="1786" spans="8:8" x14ac:dyDescent="0.25">
      <c r="H1786" s="14"/>
    </row>
    <row r="1787" spans="8:8" x14ac:dyDescent="0.25">
      <c r="H1787" s="14"/>
    </row>
    <row r="1788" spans="8:8" x14ac:dyDescent="0.25">
      <c r="H1788" s="14"/>
    </row>
    <row r="1789" spans="8:8" x14ac:dyDescent="0.25">
      <c r="H1789" s="14"/>
    </row>
    <row r="1790" spans="8:8" x14ac:dyDescent="0.25">
      <c r="H1790" s="14"/>
    </row>
    <row r="1791" spans="8:8" x14ac:dyDescent="0.25">
      <c r="H1791" s="14"/>
    </row>
    <row r="1792" spans="8:8" x14ac:dyDescent="0.25">
      <c r="H1792" s="14"/>
    </row>
    <row r="1793" spans="8:8" x14ac:dyDescent="0.25">
      <c r="H1793" s="14"/>
    </row>
    <row r="1794" spans="8:8" x14ac:dyDescent="0.25">
      <c r="H1794" s="14"/>
    </row>
    <row r="1795" spans="8:8" x14ac:dyDescent="0.25">
      <c r="H1795" s="14"/>
    </row>
    <row r="1796" spans="8:8" x14ac:dyDescent="0.25">
      <c r="H1796" s="14"/>
    </row>
    <row r="1797" spans="8:8" x14ac:dyDescent="0.25">
      <c r="H1797" s="14"/>
    </row>
    <row r="1798" spans="8:8" x14ac:dyDescent="0.25">
      <c r="H1798" s="14"/>
    </row>
    <row r="1799" spans="8:8" x14ac:dyDescent="0.25">
      <c r="H1799" s="14"/>
    </row>
    <row r="1800" spans="8:8" x14ac:dyDescent="0.25">
      <c r="H1800" s="14"/>
    </row>
    <row r="1801" spans="8:8" x14ac:dyDescent="0.25">
      <c r="H1801" s="14"/>
    </row>
    <row r="1802" spans="8:8" x14ac:dyDescent="0.25">
      <c r="H1802" s="14"/>
    </row>
    <row r="1803" spans="8:8" x14ac:dyDescent="0.25">
      <c r="H1803" s="14"/>
    </row>
    <row r="1804" spans="8:8" x14ac:dyDescent="0.25">
      <c r="H1804" s="14"/>
    </row>
    <row r="1805" spans="8:8" x14ac:dyDescent="0.25">
      <c r="H1805" s="14"/>
    </row>
    <row r="1806" spans="8:8" x14ac:dyDescent="0.25">
      <c r="H1806" s="14"/>
    </row>
    <row r="1807" spans="8:8" x14ac:dyDescent="0.25">
      <c r="H1807" s="14"/>
    </row>
    <row r="1808" spans="8:8" x14ac:dyDescent="0.25">
      <c r="H1808" s="14"/>
    </row>
    <row r="1809" spans="8:8" x14ac:dyDescent="0.25">
      <c r="H1809" s="14"/>
    </row>
    <row r="1810" spans="8:8" x14ac:dyDescent="0.25">
      <c r="H1810" s="14"/>
    </row>
    <row r="1811" spans="8:8" x14ac:dyDescent="0.25">
      <c r="H1811" s="14"/>
    </row>
    <row r="1812" spans="8:8" x14ac:dyDescent="0.25">
      <c r="H1812" s="14"/>
    </row>
    <row r="1813" spans="8:8" x14ac:dyDescent="0.25">
      <c r="H1813" s="14"/>
    </row>
    <row r="1814" spans="8:8" x14ac:dyDescent="0.25">
      <c r="H1814" s="14"/>
    </row>
    <row r="1815" spans="8:8" x14ac:dyDescent="0.25">
      <c r="H1815" s="14"/>
    </row>
    <row r="1816" spans="8:8" x14ac:dyDescent="0.25">
      <c r="H1816" s="14"/>
    </row>
    <row r="1817" spans="8:8" x14ac:dyDescent="0.25">
      <c r="H1817" s="14"/>
    </row>
    <row r="1818" spans="8:8" x14ac:dyDescent="0.25">
      <c r="H1818" s="14"/>
    </row>
    <row r="1819" spans="8:8" x14ac:dyDescent="0.25">
      <c r="H1819" s="14"/>
    </row>
    <row r="1820" spans="8:8" x14ac:dyDescent="0.25">
      <c r="H1820" s="14"/>
    </row>
    <row r="1821" spans="8:8" x14ac:dyDescent="0.25">
      <c r="H1821" s="14"/>
    </row>
    <row r="1822" spans="8:8" x14ac:dyDescent="0.25">
      <c r="H1822" s="14"/>
    </row>
    <row r="1823" spans="8:8" x14ac:dyDescent="0.25">
      <c r="H1823" s="14"/>
    </row>
    <row r="1824" spans="8:8" x14ac:dyDescent="0.25">
      <c r="H1824" s="14"/>
    </row>
    <row r="1825" spans="8:8" x14ac:dyDescent="0.25">
      <c r="H1825" s="14"/>
    </row>
    <row r="1826" spans="8:8" x14ac:dyDescent="0.25">
      <c r="H1826" s="14"/>
    </row>
    <row r="1827" spans="8:8" x14ac:dyDescent="0.25">
      <c r="H1827" s="14"/>
    </row>
    <row r="1828" spans="8:8" x14ac:dyDescent="0.25">
      <c r="H1828" s="14"/>
    </row>
    <row r="1829" spans="8:8" x14ac:dyDescent="0.25">
      <c r="H1829" s="14"/>
    </row>
    <row r="1830" spans="8:8" x14ac:dyDescent="0.25">
      <c r="H1830" s="14"/>
    </row>
    <row r="1831" spans="8:8" x14ac:dyDescent="0.25">
      <c r="H1831" s="14"/>
    </row>
    <row r="1832" spans="8:8" x14ac:dyDescent="0.25">
      <c r="H1832" s="14"/>
    </row>
    <row r="1833" spans="8:8" x14ac:dyDescent="0.25">
      <c r="H1833" s="14"/>
    </row>
    <row r="1834" spans="8:8" x14ac:dyDescent="0.25">
      <c r="H1834" s="14"/>
    </row>
    <row r="1835" spans="8:8" x14ac:dyDescent="0.25">
      <c r="H1835" s="14"/>
    </row>
    <row r="1836" spans="8:8" x14ac:dyDescent="0.25">
      <c r="H1836" s="14"/>
    </row>
    <row r="1837" spans="8:8" x14ac:dyDescent="0.25">
      <c r="H1837" s="14"/>
    </row>
    <row r="1838" spans="8:8" x14ac:dyDescent="0.25">
      <c r="H1838" s="14"/>
    </row>
    <row r="1839" spans="8:8" x14ac:dyDescent="0.25">
      <c r="H1839" s="14"/>
    </row>
    <row r="1840" spans="8:8" x14ac:dyDescent="0.25">
      <c r="H1840" s="14"/>
    </row>
    <row r="1841" spans="8:8" x14ac:dyDescent="0.25">
      <c r="H1841" s="14"/>
    </row>
    <row r="1842" spans="8:8" x14ac:dyDescent="0.25">
      <c r="H1842" s="14"/>
    </row>
    <row r="1843" spans="8:8" x14ac:dyDescent="0.25">
      <c r="H1843" s="14"/>
    </row>
    <row r="1844" spans="8:8" x14ac:dyDescent="0.25">
      <c r="H1844" s="14"/>
    </row>
    <row r="1845" spans="8:8" x14ac:dyDescent="0.25">
      <c r="H1845" s="14"/>
    </row>
    <row r="1846" spans="8:8" x14ac:dyDescent="0.25">
      <c r="H1846" s="14"/>
    </row>
    <row r="1847" spans="8:8" x14ac:dyDescent="0.25">
      <c r="H1847" s="14"/>
    </row>
    <row r="1848" spans="8:8" x14ac:dyDescent="0.25">
      <c r="H1848" s="14"/>
    </row>
    <row r="1849" spans="8:8" x14ac:dyDescent="0.25">
      <c r="H1849" s="14"/>
    </row>
    <row r="1850" spans="8:8" x14ac:dyDescent="0.25">
      <c r="H1850" s="14"/>
    </row>
    <row r="1851" spans="8:8" x14ac:dyDescent="0.25">
      <c r="H1851" s="14"/>
    </row>
    <row r="1852" spans="8:8" x14ac:dyDescent="0.25">
      <c r="H1852" s="14"/>
    </row>
    <row r="1853" spans="8:8" x14ac:dyDescent="0.25">
      <c r="H1853" s="14"/>
    </row>
    <row r="1854" spans="8:8" x14ac:dyDescent="0.25">
      <c r="H1854" s="14"/>
    </row>
    <row r="1855" spans="8:8" x14ac:dyDescent="0.25">
      <c r="H1855" s="14"/>
    </row>
    <row r="1856" spans="8:8" x14ac:dyDescent="0.25">
      <c r="H1856" s="14"/>
    </row>
    <row r="1857" spans="8:8" x14ac:dyDescent="0.25">
      <c r="H1857" s="14"/>
    </row>
    <row r="1858" spans="8:8" x14ac:dyDescent="0.25">
      <c r="H1858" s="14"/>
    </row>
    <row r="1859" spans="8:8" x14ac:dyDescent="0.25">
      <c r="H1859" s="14"/>
    </row>
    <row r="1860" spans="8:8" x14ac:dyDescent="0.25">
      <c r="H1860" s="14"/>
    </row>
    <row r="1861" spans="8:8" x14ac:dyDescent="0.25">
      <c r="H1861" s="14"/>
    </row>
    <row r="1862" spans="8:8" x14ac:dyDescent="0.25">
      <c r="H1862" s="14"/>
    </row>
    <row r="1863" spans="8:8" x14ac:dyDescent="0.25">
      <c r="H1863" s="14"/>
    </row>
    <row r="1864" spans="8:8" x14ac:dyDescent="0.25">
      <c r="H1864" s="14"/>
    </row>
    <row r="1865" spans="8:8" x14ac:dyDescent="0.25">
      <c r="H1865" s="14"/>
    </row>
    <row r="1866" spans="8:8" x14ac:dyDescent="0.25">
      <c r="H1866" s="14"/>
    </row>
    <row r="1867" spans="8:8" x14ac:dyDescent="0.25">
      <c r="H1867" s="14"/>
    </row>
    <row r="1868" spans="8:8" x14ac:dyDescent="0.25">
      <c r="H1868" s="14"/>
    </row>
    <row r="1869" spans="8:8" x14ac:dyDescent="0.25">
      <c r="H1869" s="14"/>
    </row>
    <row r="1870" spans="8:8" x14ac:dyDescent="0.25">
      <c r="H1870" s="14"/>
    </row>
    <row r="1871" spans="8:8" x14ac:dyDescent="0.25">
      <c r="H1871" s="14"/>
    </row>
    <row r="1872" spans="8:8" x14ac:dyDescent="0.25">
      <c r="H1872" s="14"/>
    </row>
    <row r="1873" spans="8:8" x14ac:dyDescent="0.25">
      <c r="H1873" s="14"/>
    </row>
    <row r="1874" spans="8:8" x14ac:dyDescent="0.25">
      <c r="H1874" s="14"/>
    </row>
    <row r="1875" spans="8:8" x14ac:dyDescent="0.25">
      <c r="H1875" s="14"/>
    </row>
    <row r="1876" spans="8:8" x14ac:dyDescent="0.25">
      <c r="H1876" s="14"/>
    </row>
    <row r="1877" spans="8:8" x14ac:dyDescent="0.25">
      <c r="H1877" s="14"/>
    </row>
    <row r="1878" spans="8:8" x14ac:dyDescent="0.25">
      <c r="H1878" s="14"/>
    </row>
    <row r="1879" spans="8:8" x14ac:dyDescent="0.25">
      <c r="H1879" s="14"/>
    </row>
    <row r="1880" spans="8:8" x14ac:dyDescent="0.25">
      <c r="H1880" s="14"/>
    </row>
    <row r="1881" spans="8:8" x14ac:dyDescent="0.25">
      <c r="H1881" s="14"/>
    </row>
    <row r="1882" spans="8:8" x14ac:dyDescent="0.25">
      <c r="H1882" s="14"/>
    </row>
    <row r="1883" spans="8:8" x14ac:dyDescent="0.25">
      <c r="H1883" s="14"/>
    </row>
    <row r="1884" spans="8:8" x14ac:dyDescent="0.25">
      <c r="H1884" s="14"/>
    </row>
    <row r="1885" spans="8:8" x14ac:dyDescent="0.25">
      <c r="H1885" s="14"/>
    </row>
    <row r="1886" spans="8:8" x14ac:dyDescent="0.25">
      <c r="H1886" s="14"/>
    </row>
    <row r="1887" spans="8:8" x14ac:dyDescent="0.25">
      <c r="H1887" s="14"/>
    </row>
    <row r="1888" spans="8:8" x14ac:dyDescent="0.25">
      <c r="H1888" s="14"/>
    </row>
    <row r="1889" spans="8:8" x14ac:dyDescent="0.25">
      <c r="H1889" s="14"/>
    </row>
    <row r="1890" spans="8:8" x14ac:dyDescent="0.25">
      <c r="H1890" s="14"/>
    </row>
    <row r="1891" spans="8:8" x14ac:dyDescent="0.25">
      <c r="H1891" s="14"/>
    </row>
    <row r="1892" spans="8:8" x14ac:dyDescent="0.25">
      <c r="H1892" s="14"/>
    </row>
    <row r="1893" spans="8:8" x14ac:dyDescent="0.25">
      <c r="H1893" s="14"/>
    </row>
    <row r="1894" spans="8:8" x14ac:dyDescent="0.25">
      <c r="H1894" s="14"/>
    </row>
    <row r="1895" spans="8:8" x14ac:dyDescent="0.25">
      <c r="H1895" s="14"/>
    </row>
    <row r="1896" spans="8:8" x14ac:dyDescent="0.25">
      <c r="H1896" s="14"/>
    </row>
    <row r="1897" spans="8:8" x14ac:dyDescent="0.25">
      <c r="H1897" s="14"/>
    </row>
    <row r="1898" spans="8:8" x14ac:dyDescent="0.25">
      <c r="H1898" s="14"/>
    </row>
    <row r="1899" spans="8:8" x14ac:dyDescent="0.25">
      <c r="H1899" s="14"/>
    </row>
    <row r="1900" spans="8:8" x14ac:dyDescent="0.25">
      <c r="H1900" s="14"/>
    </row>
    <row r="1901" spans="8:8" x14ac:dyDescent="0.25">
      <c r="H1901" s="14"/>
    </row>
    <row r="1902" spans="8:8" x14ac:dyDescent="0.25">
      <c r="H1902" s="14"/>
    </row>
    <row r="1903" spans="8:8" x14ac:dyDescent="0.25">
      <c r="H1903" s="14"/>
    </row>
    <row r="1904" spans="8:8" x14ac:dyDescent="0.25">
      <c r="H1904" s="14"/>
    </row>
    <row r="1905" spans="8:8" x14ac:dyDescent="0.25">
      <c r="H1905" s="14"/>
    </row>
    <row r="1906" spans="8:8" x14ac:dyDescent="0.25">
      <c r="H1906" s="14"/>
    </row>
    <row r="1907" spans="8:8" x14ac:dyDescent="0.25">
      <c r="H1907" s="14"/>
    </row>
    <row r="1908" spans="8:8" x14ac:dyDescent="0.25">
      <c r="H1908" s="14"/>
    </row>
    <row r="1909" spans="8:8" x14ac:dyDescent="0.25">
      <c r="H1909" s="14"/>
    </row>
    <row r="1910" spans="8:8" x14ac:dyDescent="0.25">
      <c r="H1910" s="14"/>
    </row>
    <row r="1911" spans="8:8" x14ac:dyDescent="0.25">
      <c r="H1911" s="14"/>
    </row>
    <row r="1912" spans="8:8" x14ac:dyDescent="0.25">
      <c r="H1912" s="14"/>
    </row>
    <row r="1913" spans="8:8" x14ac:dyDescent="0.25">
      <c r="H1913" s="14"/>
    </row>
    <row r="1914" spans="8:8" x14ac:dyDescent="0.25">
      <c r="H1914" s="14"/>
    </row>
    <row r="1915" spans="8:8" x14ac:dyDescent="0.25">
      <c r="H1915" s="14"/>
    </row>
    <row r="1916" spans="8:8" x14ac:dyDescent="0.25">
      <c r="H1916" s="14"/>
    </row>
    <row r="1917" spans="8:8" x14ac:dyDescent="0.25">
      <c r="H1917" s="14"/>
    </row>
    <row r="1918" spans="8:8" x14ac:dyDescent="0.25">
      <c r="H1918" s="14"/>
    </row>
    <row r="1919" spans="8:8" x14ac:dyDescent="0.25">
      <c r="H1919" s="14"/>
    </row>
    <row r="1920" spans="8:8" x14ac:dyDescent="0.25">
      <c r="H1920" s="14"/>
    </row>
    <row r="1921" spans="8:8" x14ac:dyDescent="0.25">
      <c r="H1921" s="14"/>
    </row>
    <row r="1922" spans="8:8" x14ac:dyDescent="0.25">
      <c r="H1922" s="14"/>
    </row>
    <row r="1923" spans="8:8" x14ac:dyDescent="0.25">
      <c r="H1923" s="14"/>
    </row>
    <row r="1924" spans="8:8" x14ac:dyDescent="0.25">
      <c r="H1924" s="14"/>
    </row>
    <row r="1925" spans="8:8" x14ac:dyDescent="0.25">
      <c r="H1925" s="14"/>
    </row>
    <row r="1926" spans="8:8" x14ac:dyDescent="0.25">
      <c r="H1926" s="14"/>
    </row>
    <row r="1927" spans="8:8" x14ac:dyDescent="0.25">
      <c r="H1927" s="14"/>
    </row>
    <row r="1928" spans="8:8" x14ac:dyDescent="0.25">
      <c r="H1928" s="14"/>
    </row>
    <row r="1929" spans="8:8" x14ac:dyDescent="0.25">
      <c r="H1929" s="14"/>
    </row>
    <row r="1930" spans="8:8" x14ac:dyDescent="0.25">
      <c r="H1930" s="14"/>
    </row>
    <row r="1931" spans="8:8" x14ac:dyDescent="0.25">
      <c r="H1931" s="14"/>
    </row>
    <row r="1932" spans="8:8" x14ac:dyDescent="0.25">
      <c r="H1932" s="14"/>
    </row>
    <row r="1933" spans="8:8" x14ac:dyDescent="0.25">
      <c r="H1933" s="14"/>
    </row>
    <row r="1934" spans="8:8" x14ac:dyDescent="0.25">
      <c r="H1934" s="14"/>
    </row>
    <row r="1935" spans="8:8" x14ac:dyDescent="0.25">
      <c r="H1935" s="14"/>
    </row>
    <row r="1936" spans="8:8" x14ac:dyDescent="0.25">
      <c r="H1936" s="14"/>
    </row>
    <row r="1937" spans="8:8" x14ac:dyDescent="0.25">
      <c r="H1937" s="14"/>
    </row>
    <row r="1938" spans="8:8" x14ac:dyDescent="0.25">
      <c r="H1938" s="14"/>
    </row>
    <row r="1939" spans="8:8" x14ac:dyDescent="0.25">
      <c r="H1939" s="14"/>
    </row>
    <row r="1940" spans="8:8" x14ac:dyDescent="0.25">
      <c r="H1940" s="14"/>
    </row>
    <row r="1941" spans="8:8" x14ac:dyDescent="0.25">
      <c r="H1941" s="14"/>
    </row>
    <row r="1942" spans="8:8" x14ac:dyDescent="0.25">
      <c r="H1942" s="14"/>
    </row>
    <row r="1943" spans="8:8" x14ac:dyDescent="0.25">
      <c r="H1943" s="14"/>
    </row>
    <row r="1944" spans="8:8" x14ac:dyDescent="0.25">
      <c r="H1944" s="14"/>
    </row>
    <row r="1945" spans="8:8" x14ac:dyDescent="0.25">
      <c r="H1945" s="14"/>
    </row>
    <row r="1946" spans="8:8" x14ac:dyDescent="0.25">
      <c r="H1946" s="14"/>
    </row>
    <row r="1947" spans="8:8" x14ac:dyDescent="0.25">
      <c r="H1947" s="14"/>
    </row>
    <row r="1948" spans="8:8" x14ac:dyDescent="0.25">
      <c r="H1948" s="14"/>
    </row>
    <row r="1949" spans="8:8" x14ac:dyDescent="0.25">
      <c r="H1949" s="14"/>
    </row>
    <row r="1950" spans="8:8" x14ac:dyDescent="0.25">
      <c r="H1950" s="14"/>
    </row>
    <row r="1951" spans="8:8" x14ac:dyDescent="0.25">
      <c r="H1951" s="14"/>
    </row>
    <row r="1952" spans="8:8" x14ac:dyDescent="0.25">
      <c r="H1952" s="14"/>
    </row>
    <row r="1953" spans="8:8" x14ac:dyDescent="0.25">
      <c r="H1953" s="14"/>
    </row>
    <row r="1954" spans="8:8" x14ac:dyDescent="0.25">
      <c r="H1954" s="14"/>
    </row>
    <row r="1955" spans="8:8" x14ac:dyDescent="0.25">
      <c r="H1955" s="14"/>
    </row>
    <row r="1956" spans="8:8" x14ac:dyDescent="0.25">
      <c r="H1956" s="14"/>
    </row>
    <row r="1957" spans="8:8" x14ac:dyDescent="0.25">
      <c r="H1957" s="14"/>
    </row>
    <row r="1958" spans="8:8" x14ac:dyDescent="0.25">
      <c r="H1958" s="14"/>
    </row>
    <row r="1959" spans="8:8" x14ac:dyDescent="0.25">
      <c r="H1959" s="14"/>
    </row>
    <row r="1960" spans="8:8" x14ac:dyDescent="0.25">
      <c r="H1960" s="14"/>
    </row>
    <row r="1961" spans="8:8" x14ac:dyDescent="0.25">
      <c r="H1961" s="14"/>
    </row>
    <row r="1962" spans="8:8" x14ac:dyDescent="0.25">
      <c r="H1962" s="14"/>
    </row>
    <row r="1963" spans="8:8" x14ac:dyDescent="0.25">
      <c r="H1963" s="14"/>
    </row>
    <row r="1964" spans="8:8" x14ac:dyDescent="0.25">
      <c r="H1964" s="14"/>
    </row>
    <row r="1965" spans="8:8" x14ac:dyDescent="0.25">
      <c r="H1965" s="14"/>
    </row>
    <row r="1966" spans="8:8" x14ac:dyDescent="0.25">
      <c r="H1966" s="14"/>
    </row>
    <row r="1967" spans="8:8" x14ac:dyDescent="0.25">
      <c r="H1967" s="14"/>
    </row>
    <row r="1968" spans="8:8" x14ac:dyDescent="0.25">
      <c r="H1968" s="14"/>
    </row>
    <row r="1969" spans="8:8" x14ac:dyDescent="0.25">
      <c r="H1969" s="14"/>
    </row>
    <row r="1970" spans="8:8" x14ac:dyDescent="0.25">
      <c r="H1970" s="14"/>
    </row>
    <row r="1971" spans="8:8" x14ac:dyDescent="0.25">
      <c r="H1971" s="14"/>
    </row>
    <row r="1972" spans="8:8" x14ac:dyDescent="0.25">
      <c r="H1972" s="14"/>
    </row>
    <row r="1973" spans="8:8" x14ac:dyDescent="0.25">
      <c r="H1973" s="14"/>
    </row>
    <row r="1974" spans="8:8" x14ac:dyDescent="0.25">
      <c r="H1974" s="14"/>
    </row>
    <row r="1975" spans="8:8" x14ac:dyDescent="0.25">
      <c r="H1975" s="14"/>
    </row>
    <row r="1976" spans="8:8" x14ac:dyDescent="0.25">
      <c r="H1976" s="14"/>
    </row>
    <row r="1977" spans="8:8" x14ac:dyDescent="0.25">
      <c r="H1977" s="14"/>
    </row>
    <row r="1978" spans="8:8" x14ac:dyDescent="0.25">
      <c r="H1978" s="14"/>
    </row>
    <row r="1979" spans="8:8" x14ac:dyDescent="0.25">
      <c r="H1979" s="14"/>
    </row>
    <row r="1980" spans="8:8" x14ac:dyDescent="0.25">
      <c r="H1980" s="14"/>
    </row>
    <row r="1981" spans="8:8" x14ac:dyDescent="0.25">
      <c r="H1981" s="14"/>
    </row>
    <row r="1982" spans="8:8" x14ac:dyDescent="0.25">
      <c r="H1982" s="14"/>
    </row>
    <row r="1983" spans="8:8" x14ac:dyDescent="0.25">
      <c r="H1983" s="14"/>
    </row>
    <row r="1984" spans="8:8" x14ac:dyDescent="0.25">
      <c r="H1984" s="14"/>
    </row>
    <row r="1985" spans="8:8" x14ac:dyDescent="0.25">
      <c r="H1985" s="14"/>
    </row>
    <row r="1986" spans="8:8" x14ac:dyDescent="0.25">
      <c r="H1986" s="14"/>
    </row>
    <row r="1987" spans="8:8" x14ac:dyDescent="0.25">
      <c r="H1987" s="14"/>
    </row>
    <row r="1988" spans="8:8" x14ac:dyDescent="0.25">
      <c r="H1988" s="14"/>
    </row>
    <row r="1989" spans="8:8" x14ac:dyDescent="0.25">
      <c r="H1989" s="14"/>
    </row>
    <row r="1990" spans="8:8" x14ac:dyDescent="0.25">
      <c r="H1990" s="14"/>
    </row>
    <row r="1991" spans="8:8" x14ac:dyDescent="0.25">
      <c r="H1991" s="14"/>
    </row>
    <row r="1992" spans="8:8" x14ac:dyDescent="0.25">
      <c r="H1992" s="14"/>
    </row>
    <row r="1993" spans="8:8" x14ac:dyDescent="0.25">
      <c r="H1993" s="14"/>
    </row>
    <row r="1994" spans="8:8" x14ac:dyDescent="0.25">
      <c r="H1994" s="14"/>
    </row>
    <row r="1995" spans="8:8" x14ac:dyDescent="0.25">
      <c r="H1995" s="14"/>
    </row>
    <row r="1996" spans="8:8" x14ac:dyDescent="0.25">
      <c r="H1996" s="14"/>
    </row>
    <row r="1997" spans="8:8" x14ac:dyDescent="0.25">
      <c r="H1997" s="14"/>
    </row>
    <row r="1998" spans="8:8" x14ac:dyDescent="0.25">
      <c r="H1998" s="14"/>
    </row>
    <row r="1999" spans="8:8" x14ac:dyDescent="0.25">
      <c r="H1999" s="14"/>
    </row>
    <row r="2000" spans="8:8" x14ac:dyDescent="0.25">
      <c r="H2000" s="14"/>
    </row>
    <row r="2001" spans="8:8" x14ac:dyDescent="0.25">
      <c r="H2001" s="14"/>
    </row>
    <row r="2002" spans="8:8" x14ac:dyDescent="0.25">
      <c r="H2002" s="14"/>
    </row>
    <row r="2003" spans="8:8" x14ac:dyDescent="0.25">
      <c r="H2003" s="14"/>
    </row>
    <row r="2004" spans="8:8" x14ac:dyDescent="0.25">
      <c r="H2004" s="14"/>
    </row>
    <row r="2005" spans="8:8" x14ac:dyDescent="0.25">
      <c r="H2005" s="14"/>
    </row>
    <row r="2006" spans="8:8" x14ac:dyDescent="0.25">
      <c r="H2006" s="14"/>
    </row>
    <row r="2007" spans="8:8" x14ac:dyDescent="0.25">
      <c r="H2007" s="14"/>
    </row>
    <row r="2008" spans="8:8" x14ac:dyDescent="0.25">
      <c r="H2008" s="14"/>
    </row>
    <row r="2009" spans="8:8" x14ac:dyDescent="0.25">
      <c r="H2009" s="14"/>
    </row>
    <row r="2010" spans="8:8" x14ac:dyDescent="0.25">
      <c r="H2010" s="14"/>
    </row>
    <row r="2011" spans="8:8" x14ac:dyDescent="0.25">
      <c r="H2011" s="14"/>
    </row>
    <row r="2012" spans="8:8" x14ac:dyDescent="0.25">
      <c r="H2012" s="14"/>
    </row>
    <row r="2013" spans="8:8" x14ac:dyDescent="0.25">
      <c r="H2013" s="14"/>
    </row>
    <row r="2014" spans="8:8" x14ac:dyDescent="0.25">
      <c r="H2014" s="14"/>
    </row>
    <row r="2015" spans="8:8" x14ac:dyDescent="0.25">
      <c r="H2015" s="14"/>
    </row>
    <row r="2016" spans="8:8" x14ac:dyDescent="0.25">
      <c r="H2016" s="14"/>
    </row>
    <row r="2017" spans="8:8" x14ac:dyDescent="0.25">
      <c r="H2017" s="14"/>
    </row>
    <row r="2018" spans="8:8" x14ac:dyDescent="0.25">
      <c r="H2018" s="14"/>
    </row>
    <row r="2019" spans="8:8" x14ac:dyDescent="0.25">
      <c r="H2019" s="14"/>
    </row>
    <row r="2020" spans="8:8" x14ac:dyDescent="0.25">
      <c r="H2020" s="14"/>
    </row>
    <row r="2021" spans="8:8" x14ac:dyDescent="0.25">
      <c r="H2021" s="14"/>
    </row>
    <row r="2022" spans="8:8" x14ac:dyDescent="0.25">
      <c r="H2022" s="14"/>
    </row>
    <row r="2023" spans="8:8" x14ac:dyDescent="0.25">
      <c r="H2023" s="14"/>
    </row>
    <row r="2024" spans="8:8" x14ac:dyDescent="0.25">
      <c r="H2024" s="14"/>
    </row>
    <row r="2025" spans="8:8" x14ac:dyDescent="0.25">
      <c r="H2025" s="14"/>
    </row>
    <row r="2026" spans="8:8" x14ac:dyDescent="0.25">
      <c r="H2026" s="14"/>
    </row>
    <row r="2027" spans="8:8" x14ac:dyDescent="0.25">
      <c r="H2027" s="14"/>
    </row>
    <row r="2028" spans="8:8" x14ac:dyDescent="0.25">
      <c r="H2028" s="14"/>
    </row>
    <row r="2029" spans="8:8" x14ac:dyDescent="0.25">
      <c r="H2029" s="14"/>
    </row>
    <row r="2030" spans="8:8" x14ac:dyDescent="0.25">
      <c r="H2030" s="14"/>
    </row>
    <row r="2031" spans="8:8" x14ac:dyDescent="0.25">
      <c r="H2031" s="14"/>
    </row>
    <row r="2032" spans="8:8" x14ac:dyDescent="0.25">
      <c r="H2032" s="14"/>
    </row>
    <row r="2033" spans="8:8" x14ac:dyDescent="0.25">
      <c r="H2033" s="14"/>
    </row>
    <row r="2034" spans="8:8" x14ac:dyDescent="0.25">
      <c r="H2034" s="14"/>
    </row>
    <row r="2035" spans="8:8" x14ac:dyDescent="0.25">
      <c r="H2035" s="14"/>
    </row>
    <row r="2036" spans="8:8" x14ac:dyDescent="0.25">
      <c r="H2036" s="14"/>
    </row>
    <row r="2037" spans="8:8" x14ac:dyDescent="0.25">
      <c r="H2037" s="14"/>
    </row>
    <row r="2038" spans="8:8" x14ac:dyDescent="0.25">
      <c r="H2038" s="14"/>
    </row>
    <row r="2039" spans="8:8" x14ac:dyDescent="0.25">
      <c r="H2039" s="14"/>
    </row>
    <row r="2040" spans="8:8" x14ac:dyDescent="0.25">
      <c r="H2040" s="14"/>
    </row>
    <row r="2041" spans="8:8" x14ac:dyDescent="0.25">
      <c r="H2041" s="14"/>
    </row>
    <row r="2042" spans="8:8" x14ac:dyDescent="0.25">
      <c r="H2042" s="14"/>
    </row>
    <row r="2043" spans="8:8" x14ac:dyDescent="0.25">
      <c r="H2043" s="14"/>
    </row>
    <row r="2044" spans="8:8" x14ac:dyDescent="0.25">
      <c r="H2044" s="14"/>
    </row>
    <row r="2045" spans="8:8" x14ac:dyDescent="0.25">
      <c r="H2045" s="14"/>
    </row>
    <row r="2046" spans="8:8" x14ac:dyDescent="0.25">
      <c r="H2046" s="14"/>
    </row>
    <row r="2047" spans="8:8" x14ac:dyDescent="0.25">
      <c r="H2047" s="14"/>
    </row>
    <row r="2048" spans="8:8" x14ac:dyDescent="0.25">
      <c r="H2048" s="14"/>
    </row>
    <row r="2049" spans="8:8" x14ac:dyDescent="0.25">
      <c r="H2049" s="14"/>
    </row>
    <row r="2050" spans="8:8" x14ac:dyDescent="0.25">
      <c r="H2050" s="14"/>
    </row>
    <row r="2051" spans="8:8" x14ac:dyDescent="0.25">
      <c r="H2051" s="14"/>
    </row>
    <row r="2052" spans="8:8" x14ac:dyDescent="0.25">
      <c r="H2052" s="14"/>
    </row>
    <row r="2053" spans="8:8" x14ac:dyDescent="0.25">
      <c r="H2053" s="14"/>
    </row>
    <row r="2054" spans="8:8" x14ac:dyDescent="0.25">
      <c r="H2054" s="14"/>
    </row>
    <row r="2055" spans="8:8" x14ac:dyDescent="0.25">
      <c r="H2055" s="14"/>
    </row>
    <row r="2056" spans="8:8" x14ac:dyDescent="0.25">
      <c r="H2056" s="14"/>
    </row>
    <row r="2057" spans="8:8" x14ac:dyDescent="0.25">
      <c r="H2057" s="14"/>
    </row>
    <row r="2058" spans="8:8" x14ac:dyDescent="0.25">
      <c r="H2058" s="14"/>
    </row>
    <row r="2059" spans="8:8" x14ac:dyDescent="0.25">
      <c r="H2059" s="14"/>
    </row>
    <row r="2060" spans="8:8" x14ac:dyDescent="0.25">
      <c r="H2060" s="14"/>
    </row>
    <row r="2061" spans="8:8" x14ac:dyDescent="0.25">
      <c r="H2061" s="14"/>
    </row>
    <row r="2062" spans="8:8" x14ac:dyDescent="0.25">
      <c r="H2062" s="14"/>
    </row>
    <row r="2063" spans="8:8" x14ac:dyDescent="0.25">
      <c r="H2063" s="14"/>
    </row>
    <row r="2064" spans="8:8" x14ac:dyDescent="0.25">
      <c r="H2064" s="14"/>
    </row>
    <row r="2065" spans="8:8" x14ac:dyDescent="0.25">
      <c r="H2065" s="14"/>
    </row>
    <row r="2066" spans="8:8" x14ac:dyDescent="0.25">
      <c r="H2066" s="14"/>
    </row>
    <row r="2067" spans="8:8" x14ac:dyDescent="0.25">
      <c r="H2067" s="14"/>
    </row>
    <row r="2068" spans="8:8" x14ac:dyDescent="0.25">
      <c r="H2068" s="14"/>
    </row>
    <row r="2069" spans="8:8" x14ac:dyDescent="0.25">
      <c r="H2069" s="14"/>
    </row>
    <row r="2070" spans="8:8" x14ac:dyDescent="0.25">
      <c r="H2070" s="14"/>
    </row>
    <row r="2071" spans="8:8" x14ac:dyDescent="0.25">
      <c r="H2071" s="14"/>
    </row>
    <row r="2072" spans="8:8" x14ac:dyDescent="0.25">
      <c r="H2072" s="14"/>
    </row>
    <row r="2073" spans="8:8" x14ac:dyDescent="0.25">
      <c r="H2073" s="14"/>
    </row>
    <row r="2074" spans="8:8" x14ac:dyDescent="0.25">
      <c r="H2074" s="14"/>
    </row>
    <row r="2075" spans="8:8" x14ac:dyDescent="0.25">
      <c r="H2075" s="14"/>
    </row>
    <row r="2076" spans="8:8" x14ac:dyDescent="0.25">
      <c r="H2076" s="14"/>
    </row>
    <row r="2077" spans="8:8" x14ac:dyDescent="0.25">
      <c r="H2077" s="14"/>
    </row>
    <row r="2078" spans="8:8" x14ac:dyDescent="0.25">
      <c r="H2078" s="14"/>
    </row>
    <row r="2079" spans="8:8" x14ac:dyDescent="0.25">
      <c r="H2079" s="14"/>
    </row>
    <row r="2080" spans="8:8" x14ac:dyDescent="0.25">
      <c r="H2080" s="14"/>
    </row>
    <row r="2081" spans="8:8" x14ac:dyDescent="0.25">
      <c r="H2081" s="14"/>
    </row>
    <row r="2082" spans="8:8" x14ac:dyDescent="0.25">
      <c r="H2082" s="14"/>
    </row>
    <row r="2083" spans="8:8" x14ac:dyDescent="0.25">
      <c r="H2083" s="14"/>
    </row>
    <row r="2084" spans="8:8" x14ac:dyDescent="0.25">
      <c r="H2084" s="14"/>
    </row>
    <row r="2085" spans="8:8" x14ac:dyDescent="0.25">
      <c r="H2085" s="14"/>
    </row>
    <row r="2086" spans="8:8" x14ac:dyDescent="0.25">
      <c r="H2086" s="14"/>
    </row>
    <row r="2087" spans="8:8" x14ac:dyDescent="0.25">
      <c r="H2087" s="14"/>
    </row>
    <row r="2088" spans="8:8" x14ac:dyDescent="0.25">
      <c r="H2088" s="14"/>
    </row>
    <row r="2089" spans="8:8" x14ac:dyDescent="0.25">
      <c r="H2089" s="14"/>
    </row>
    <row r="2090" spans="8:8" x14ac:dyDescent="0.25">
      <c r="H2090" s="14"/>
    </row>
    <row r="2091" spans="8:8" x14ac:dyDescent="0.25">
      <c r="H2091" s="14"/>
    </row>
    <row r="2092" spans="8:8" x14ac:dyDescent="0.25">
      <c r="H2092" s="14"/>
    </row>
    <row r="2093" spans="8:8" x14ac:dyDescent="0.25">
      <c r="H2093" s="14"/>
    </row>
    <row r="2094" spans="8:8" x14ac:dyDescent="0.25">
      <c r="H2094" s="14"/>
    </row>
    <row r="2095" spans="8:8" x14ac:dyDescent="0.25">
      <c r="H2095" s="14"/>
    </row>
    <row r="2096" spans="8:8" x14ac:dyDescent="0.25">
      <c r="H2096" s="14"/>
    </row>
    <row r="2097" spans="8:8" x14ac:dyDescent="0.25">
      <c r="H2097" s="14"/>
    </row>
    <row r="2098" spans="8:8" x14ac:dyDescent="0.25">
      <c r="H2098" s="14"/>
    </row>
    <row r="2099" spans="8:8" x14ac:dyDescent="0.25">
      <c r="H2099" s="14"/>
    </row>
    <row r="2100" spans="8:8" x14ac:dyDescent="0.25">
      <c r="H2100" s="14"/>
    </row>
    <row r="2101" spans="8:8" x14ac:dyDescent="0.25">
      <c r="H2101" s="14"/>
    </row>
    <row r="2102" spans="8:8" x14ac:dyDescent="0.25">
      <c r="H2102" s="14"/>
    </row>
    <row r="2103" spans="8:8" x14ac:dyDescent="0.25">
      <c r="H2103" s="14"/>
    </row>
    <row r="2104" spans="8:8" x14ac:dyDescent="0.25">
      <c r="H2104" s="14"/>
    </row>
    <row r="2105" spans="8:8" x14ac:dyDescent="0.25">
      <c r="H2105" s="14"/>
    </row>
    <row r="2106" spans="8:8" x14ac:dyDescent="0.25">
      <c r="H2106" s="14"/>
    </row>
    <row r="2107" spans="8:8" x14ac:dyDescent="0.25">
      <c r="H2107" s="14"/>
    </row>
    <row r="2108" spans="8:8" x14ac:dyDescent="0.25">
      <c r="H2108" s="14"/>
    </row>
    <row r="2109" spans="8:8" x14ac:dyDescent="0.25">
      <c r="H2109" s="14"/>
    </row>
    <row r="2110" spans="8:8" x14ac:dyDescent="0.25">
      <c r="H2110" s="14"/>
    </row>
    <row r="2111" spans="8:8" x14ac:dyDescent="0.25">
      <c r="H2111" s="14"/>
    </row>
    <row r="2112" spans="8:8" x14ac:dyDescent="0.25">
      <c r="H2112" s="14"/>
    </row>
    <row r="2113" spans="8:8" x14ac:dyDescent="0.25">
      <c r="H2113" s="14"/>
    </row>
    <row r="2114" spans="8:8" x14ac:dyDescent="0.25">
      <c r="H2114" s="14"/>
    </row>
    <row r="2115" spans="8:8" x14ac:dyDescent="0.25">
      <c r="H2115" s="14"/>
    </row>
    <row r="2116" spans="8:8" x14ac:dyDescent="0.25">
      <c r="H2116" s="14"/>
    </row>
    <row r="2117" spans="8:8" x14ac:dyDescent="0.25">
      <c r="H2117" s="14"/>
    </row>
    <row r="2118" spans="8:8" x14ac:dyDescent="0.25">
      <c r="H2118" s="14"/>
    </row>
    <row r="2119" spans="8:8" x14ac:dyDescent="0.25">
      <c r="H2119" s="14"/>
    </row>
    <row r="2120" spans="8:8" x14ac:dyDescent="0.25">
      <c r="H2120" s="14"/>
    </row>
    <row r="2121" spans="8:8" x14ac:dyDescent="0.25">
      <c r="H2121" s="14"/>
    </row>
    <row r="2122" spans="8:8" x14ac:dyDescent="0.25">
      <c r="H2122" s="14"/>
    </row>
    <row r="2123" spans="8:8" x14ac:dyDescent="0.25">
      <c r="H2123" s="14"/>
    </row>
    <row r="2124" spans="8:8" x14ac:dyDescent="0.25">
      <c r="H2124" s="14"/>
    </row>
    <row r="2125" spans="8:8" x14ac:dyDescent="0.25">
      <c r="H2125" s="14"/>
    </row>
    <row r="2126" spans="8:8" x14ac:dyDescent="0.25">
      <c r="H2126" s="14"/>
    </row>
    <row r="2127" spans="8:8" x14ac:dyDescent="0.25">
      <c r="H2127" s="14"/>
    </row>
    <row r="2128" spans="8:8" x14ac:dyDescent="0.25">
      <c r="H2128" s="14"/>
    </row>
    <row r="2129" spans="8:8" x14ac:dyDescent="0.25">
      <c r="H2129" s="14"/>
    </row>
    <row r="2130" spans="8:8" x14ac:dyDescent="0.25">
      <c r="H2130" s="14"/>
    </row>
    <row r="2131" spans="8:8" x14ac:dyDescent="0.25">
      <c r="H2131" s="14"/>
    </row>
    <row r="2132" spans="8:8" x14ac:dyDescent="0.25">
      <c r="H2132" s="14"/>
    </row>
    <row r="2133" spans="8:8" x14ac:dyDescent="0.25">
      <c r="H2133" s="14"/>
    </row>
    <row r="2134" spans="8:8" x14ac:dyDescent="0.25">
      <c r="H2134" s="14"/>
    </row>
    <row r="2135" spans="8:8" x14ac:dyDescent="0.25">
      <c r="H2135" s="14"/>
    </row>
    <row r="2136" spans="8:8" x14ac:dyDescent="0.25">
      <c r="H2136" s="14"/>
    </row>
    <row r="2137" spans="8:8" x14ac:dyDescent="0.25">
      <c r="H2137" s="14"/>
    </row>
    <row r="2138" spans="8:8" x14ac:dyDescent="0.25">
      <c r="H2138" s="14"/>
    </row>
    <row r="2139" spans="8:8" x14ac:dyDescent="0.25">
      <c r="H2139" s="14"/>
    </row>
    <row r="2140" spans="8:8" x14ac:dyDescent="0.25">
      <c r="H2140" s="14"/>
    </row>
    <row r="2141" spans="8:8" x14ac:dyDescent="0.25">
      <c r="H2141" s="14"/>
    </row>
    <row r="2142" spans="8:8" x14ac:dyDescent="0.25">
      <c r="H2142" s="14"/>
    </row>
    <row r="2143" spans="8:8" x14ac:dyDescent="0.25">
      <c r="H2143" s="14"/>
    </row>
    <row r="2144" spans="8:8" x14ac:dyDescent="0.25">
      <c r="H2144" s="14"/>
    </row>
    <row r="2145" spans="8:8" x14ac:dyDescent="0.25">
      <c r="H2145" s="14"/>
    </row>
    <row r="2146" spans="8:8" x14ac:dyDescent="0.25">
      <c r="H2146" s="14"/>
    </row>
    <row r="2147" spans="8:8" x14ac:dyDescent="0.25">
      <c r="H2147" s="14"/>
    </row>
    <row r="2148" spans="8:8" x14ac:dyDescent="0.25">
      <c r="H2148" s="14"/>
    </row>
    <row r="2149" spans="8:8" x14ac:dyDescent="0.25">
      <c r="H2149" s="14"/>
    </row>
    <row r="2150" spans="8:8" x14ac:dyDescent="0.25">
      <c r="H2150" s="14"/>
    </row>
    <row r="2151" spans="8:8" x14ac:dyDescent="0.25">
      <c r="H2151" s="14"/>
    </row>
    <row r="2152" spans="8:8" x14ac:dyDescent="0.25">
      <c r="H2152" s="14"/>
    </row>
    <row r="2153" spans="8:8" x14ac:dyDescent="0.25">
      <c r="H2153" s="14"/>
    </row>
    <row r="2154" spans="8:8" x14ac:dyDescent="0.25">
      <c r="H2154" s="14"/>
    </row>
    <row r="2155" spans="8:8" x14ac:dyDescent="0.25">
      <c r="H2155" s="14"/>
    </row>
    <row r="2156" spans="8:8" x14ac:dyDescent="0.25">
      <c r="H2156" s="14"/>
    </row>
    <row r="2157" spans="8:8" x14ac:dyDescent="0.25">
      <c r="H2157" s="14"/>
    </row>
    <row r="2158" spans="8:8" x14ac:dyDescent="0.25">
      <c r="H2158" s="14"/>
    </row>
    <row r="2159" spans="8:8" x14ac:dyDescent="0.25">
      <c r="H2159" s="14"/>
    </row>
    <row r="2160" spans="8:8" x14ac:dyDescent="0.25">
      <c r="H2160" s="14"/>
    </row>
    <row r="2161" spans="8:8" x14ac:dyDescent="0.25">
      <c r="H2161" s="14"/>
    </row>
    <row r="2162" spans="8:8" x14ac:dyDescent="0.25">
      <c r="H2162" s="14"/>
    </row>
    <row r="2163" spans="8:8" x14ac:dyDescent="0.25">
      <c r="H2163" s="14"/>
    </row>
    <row r="2164" spans="8:8" x14ac:dyDescent="0.25">
      <c r="H2164" s="14"/>
    </row>
    <row r="2165" spans="8:8" x14ac:dyDescent="0.25">
      <c r="H2165" s="14"/>
    </row>
    <row r="2166" spans="8:8" x14ac:dyDescent="0.25">
      <c r="H2166" s="14"/>
    </row>
    <row r="2167" spans="8:8" x14ac:dyDescent="0.25">
      <c r="H2167" s="14"/>
    </row>
    <row r="2168" spans="8:8" x14ac:dyDescent="0.25">
      <c r="H2168" s="14"/>
    </row>
    <row r="2169" spans="8:8" x14ac:dyDescent="0.25">
      <c r="H2169" s="14"/>
    </row>
    <row r="2170" spans="8:8" x14ac:dyDescent="0.25">
      <c r="H2170" s="14"/>
    </row>
    <row r="2171" spans="8:8" x14ac:dyDescent="0.25">
      <c r="H2171" s="14"/>
    </row>
    <row r="2172" spans="8:8" x14ac:dyDescent="0.25">
      <c r="H2172" s="14"/>
    </row>
    <row r="2173" spans="8:8" x14ac:dyDescent="0.25">
      <c r="H2173" s="14"/>
    </row>
    <row r="2174" spans="8:8" x14ac:dyDescent="0.25">
      <c r="H2174" s="14"/>
    </row>
    <row r="2175" spans="8:8" x14ac:dyDescent="0.25">
      <c r="H2175" s="14"/>
    </row>
    <row r="2176" spans="8:8" x14ac:dyDescent="0.25">
      <c r="H2176" s="14"/>
    </row>
    <row r="2177" spans="8:8" x14ac:dyDescent="0.25">
      <c r="H2177" s="14"/>
    </row>
    <row r="2178" spans="8:8" x14ac:dyDescent="0.25">
      <c r="H2178" s="14"/>
    </row>
    <row r="2179" spans="8:8" x14ac:dyDescent="0.25">
      <c r="H2179" s="14"/>
    </row>
    <row r="2180" spans="8:8" x14ac:dyDescent="0.25">
      <c r="H2180" s="14"/>
    </row>
    <row r="2181" spans="8:8" x14ac:dyDescent="0.25">
      <c r="H2181" s="14"/>
    </row>
    <row r="2182" spans="8:8" x14ac:dyDescent="0.25">
      <c r="H2182" s="14"/>
    </row>
    <row r="2183" spans="8:8" x14ac:dyDescent="0.25">
      <c r="H2183" s="14"/>
    </row>
    <row r="2184" spans="8:8" x14ac:dyDescent="0.25">
      <c r="H2184" s="14"/>
    </row>
    <row r="2185" spans="8:8" x14ac:dyDescent="0.25">
      <c r="H2185" s="14"/>
    </row>
    <row r="2186" spans="8:8" x14ac:dyDescent="0.25">
      <c r="H2186" s="14"/>
    </row>
    <row r="2187" spans="8:8" x14ac:dyDescent="0.25">
      <c r="H2187" s="14"/>
    </row>
    <row r="2188" spans="8:8" x14ac:dyDescent="0.25">
      <c r="H2188" s="14"/>
    </row>
    <row r="2189" spans="8:8" x14ac:dyDescent="0.25">
      <c r="H2189" s="14"/>
    </row>
    <row r="2190" spans="8:8" x14ac:dyDescent="0.25">
      <c r="H2190" s="14"/>
    </row>
    <row r="2191" spans="8:8" x14ac:dyDescent="0.25">
      <c r="H2191" s="14"/>
    </row>
    <row r="2192" spans="8:8" x14ac:dyDescent="0.25">
      <c r="H2192" s="14"/>
    </row>
    <row r="2193" spans="8:8" x14ac:dyDescent="0.25">
      <c r="H2193" s="14"/>
    </row>
    <row r="2194" spans="8:8" x14ac:dyDescent="0.25">
      <c r="H2194" s="14"/>
    </row>
    <row r="2195" spans="8:8" x14ac:dyDescent="0.25">
      <c r="H2195" s="14"/>
    </row>
    <row r="2196" spans="8:8" x14ac:dyDescent="0.25">
      <c r="H2196" s="14"/>
    </row>
    <row r="2197" spans="8:8" x14ac:dyDescent="0.25">
      <c r="H2197" s="14"/>
    </row>
    <row r="2198" spans="8:8" x14ac:dyDescent="0.25">
      <c r="H2198" s="14"/>
    </row>
    <row r="2199" spans="8:8" x14ac:dyDescent="0.25">
      <c r="H2199" s="14"/>
    </row>
    <row r="2200" spans="8:8" x14ac:dyDescent="0.25">
      <c r="H2200" s="14"/>
    </row>
    <row r="2201" spans="8:8" x14ac:dyDescent="0.25">
      <c r="H2201" s="14"/>
    </row>
    <row r="2202" spans="8:8" x14ac:dyDescent="0.25">
      <c r="H2202" s="14"/>
    </row>
    <row r="2203" spans="8:8" x14ac:dyDescent="0.25">
      <c r="H2203" s="14"/>
    </row>
    <row r="2204" spans="8:8" x14ac:dyDescent="0.25">
      <c r="H2204" s="14"/>
    </row>
    <row r="2205" spans="8:8" x14ac:dyDescent="0.25">
      <c r="H2205" s="14"/>
    </row>
    <row r="2206" spans="8:8" x14ac:dyDescent="0.25">
      <c r="H2206" s="14"/>
    </row>
    <row r="2207" spans="8:8" x14ac:dyDescent="0.25">
      <c r="H2207" s="14"/>
    </row>
    <row r="2208" spans="8:8" x14ac:dyDescent="0.25">
      <c r="H2208" s="14"/>
    </row>
    <row r="2209" spans="8:8" x14ac:dyDescent="0.25">
      <c r="H2209" s="14"/>
    </row>
    <row r="2210" spans="8:8" x14ac:dyDescent="0.25">
      <c r="H2210" s="14"/>
    </row>
    <row r="2211" spans="8:8" x14ac:dyDescent="0.25">
      <c r="H2211" s="14"/>
    </row>
    <row r="2212" spans="8:8" x14ac:dyDescent="0.25">
      <c r="H2212" s="14"/>
    </row>
    <row r="2213" spans="8:8" x14ac:dyDescent="0.25">
      <c r="H2213" s="14"/>
    </row>
    <row r="2214" spans="8:8" x14ac:dyDescent="0.25">
      <c r="H2214" s="14"/>
    </row>
    <row r="2215" spans="8:8" x14ac:dyDescent="0.25">
      <c r="H2215" s="14"/>
    </row>
    <row r="2216" spans="8:8" x14ac:dyDescent="0.25">
      <c r="H2216" s="14"/>
    </row>
    <row r="2217" spans="8:8" x14ac:dyDescent="0.25">
      <c r="H2217" s="14"/>
    </row>
    <row r="2218" spans="8:8" x14ac:dyDescent="0.25">
      <c r="H2218" s="14"/>
    </row>
    <row r="2219" spans="8:8" x14ac:dyDescent="0.25">
      <c r="H2219" s="14"/>
    </row>
    <row r="2220" spans="8:8" x14ac:dyDescent="0.25">
      <c r="H2220" s="14"/>
    </row>
    <row r="2221" spans="8:8" x14ac:dyDescent="0.25">
      <c r="H2221" s="14"/>
    </row>
    <row r="2222" spans="8:8" x14ac:dyDescent="0.25">
      <c r="H2222" s="14"/>
    </row>
    <row r="2223" spans="8:8" x14ac:dyDescent="0.25">
      <c r="H2223" s="14"/>
    </row>
    <row r="2224" spans="8:8" x14ac:dyDescent="0.25">
      <c r="H2224" s="14"/>
    </row>
    <row r="2225" spans="8:8" x14ac:dyDescent="0.25">
      <c r="H2225" s="14"/>
    </row>
    <row r="2226" spans="8:8" x14ac:dyDescent="0.25">
      <c r="H2226" s="14"/>
    </row>
    <row r="2227" spans="8:8" x14ac:dyDescent="0.25">
      <c r="H2227" s="14"/>
    </row>
    <row r="2228" spans="8:8" x14ac:dyDescent="0.25">
      <c r="H2228" s="14"/>
    </row>
    <row r="2229" spans="8:8" x14ac:dyDescent="0.25">
      <c r="H2229" s="14"/>
    </row>
    <row r="2230" spans="8:8" x14ac:dyDescent="0.25">
      <c r="H2230" s="14"/>
    </row>
    <row r="2231" spans="8:8" x14ac:dyDescent="0.25">
      <c r="H2231" s="14"/>
    </row>
    <row r="2232" spans="8:8" x14ac:dyDescent="0.25">
      <c r="H2232" s="14"/>
    </row>
    <row r="2233" spans="8:8" x14ac:dyDescent="0.25">
      <c r="H2233" s="14"/>
    </row>
    <row r="2234" spans="8:8" x14ac:dyDescent="0.25">
      <c r="H2234" s="14"/>
    </row>
    <row r="2235" spans="8:8" x14ac:dyDescent="0.25">
      <c r="H2235" s="14"/>
    </row>
    <row r="2236" spans="8:8" x14ac:dyDescent="0.25">
      <c r="H2236" s="14"/>
    </row>
    <row r="2237" spans="8:8" x14ac:dyDescent="0.25">
      <c r="H2237" s="14"/>
    </row>
    <row r="2238" spans="8:8" x14ac:dyDescent="0.25">
      <c r="H2238" s="14"/>
    </row>
    <row r="2239" spans="8:8" x14ac:dyDescent="0.25">
      <c r="H2239" s="14"/>
    </row>
    <row r="2240" spans="8:8" x14ac:dyDescent="0.25">
      <c r="H2240" s="14"/>
    </row>
    <row r="2241" spans="8:8" x14ac:dyDescent="0.25">
      <c r="H2241" s="14"/>
    </row>
    <row r="2242" spans="8:8" x14ac:dyDescent="0.25">
      <c r="H2242" s="14"/>
    </row>
    <row r="2243" spans="8:8" x14ac:dyDescent="0.25">
      <c r="H2243" s="14"/>
    </row>
    <row r="2244" spans="8:8" x14ac:dyDescent="0.25">
      <c r="H2244" s="14"/>
    </row>
    <row r="2245" spans="8:8" x14ac:dyDescent="0.25">
      <c r="H2245" s="14"/>
    </row>
    <row r="2246" spans="8:8" x14ac:dyDescent="0.25">
      <c r="H2246" s="14"/>
    </row>
    <row r="2247" spans="8:8" x14ac:dyDescent="0.25">
      <c r="H2247" s="14"/>
    </row>
    <row r="2248" spans="8:8" x14ac:dyDescent="0.25">
      <c r="H2248" s="14"/>
    </row>
    <row r="2249" spans="8:8" x14ac:dyDescent="0.25">
      <c r="H2249" s="14"/>
    </row>
    <row r="2250" spans="8:8" x14ac:dyDescent="0.25">
      <c r="H2250" s="14"/>
    </row>
    <row r="2251" spans="8:8" x14ac:dyDescent="0.25">
      <c r="H2251" s="14"/>
    </row>
    <row r="2252" spans="8:8" x14ac:dyDescent="0.25">
      <c r="H2252" s="14"/>
    </row>
    <row r="2253" spans="8:8" x14ac:dyDescent="0.25">
      <c r="H2253" s="14"/>
    </row>
    <row r="2254" spans="8:8" x14ac:dyDescent="0.25">
      <c r="H2254" s="14"/>
    </row>
    <row r="2255" spans="8:8" x14ac:dyDescent="0.25">
      <c r="H2255" s="14"/>
    </row>
    <row r="2256" spans="8:8" x14ac:dyDescent="0.25">
      <c r="H2256" s="14"/>
    </row>
    <row r="2257" spans="8:8" x14ac:dyDescent="0.25">
      <c r="H2257" s="14"/>
    </row>
    <row r="2258" spans="8:8" x14ac:dyDescent="0.25">
      <c r="H2258" s="14"/>
    </row>
    <row r="2259" spans="8:8" x14ac:dyDescent="0.25">
      <c r="H2259" s="14"/>
    </row>
    <row r="2260" spans="8:8" x14ac:dyDescent="0.25">
      <c r="H2260" s="14"/>
    </row>
    <row r="2261" spans="8:8" x14ac:dyDescent="0.25">
      <c r="H2261" s="14"/>
    </row>
    <row r="2262" spans="8:8" x14ac:dyDescent="0.25">
      <c r="H2262" s="14"/>
    </row>
    <row r="2263" spans="8:8" x14ac:dyDescent="0.25">
      <c r="H2263" s="14"/>
    </row>
    <row r="2264" spans="8:8" x14ac:dyDescent="0.25">
      <c r="H2264" s="14"/>
    </row>
    <row r="2265" spans="8:8" x14ac:dyDescent="0.25">
      <c r="H2265" s="14"/>
    </row>
    <row r="2266" spans="8:8" x14ac:dyDescent="0.25">
      <c r="H2266" s="14"/>
    </row>
    <row r="2267" spans="8:8" x14ac:dyDescent="0.25">
      <c r="H2267" s="14"/>
    </row>
    <row r="2268" spans="8:8" x14ac:dyDescent="0.25">
      <c r="H2268" s="14"/>
    </row>
    <row r="2269" spans="8:8" x14ac:dyDescent="0.25">
      <c r="H2269" s="14"/>
    </row>
    <row r="2270" spans="8:8" x14ac:dyDescent="0.25">
      <c r="H2270" s="14"/>
    </row>
    <row r="2271" spans="8:8" x14ac:dyDescent="0.25">
      <c r="H2271" s="14"/>
    </row>
    <row r="2272" spans="8:8" x14ac:dyDescent="0.25">
      <c r="H2272" s="14"/>
    </row>
    <row r="2273" spans="8:8" x14ac:dyDescent="0.25">
      <c r="H2273" s="14"/>
    </row>
    <row r="2274" spans="8:8" x14ac:dyDescent="0.25">
      <c r="H2274" s="14"/>
    </row>
    <row r="2275" spans="8:8" x14ac:dyDescent="0.25">
      <c r="H2275" s="14"/>
    </row>
    <row r="2276" spans="8:8" x14ac:dyDescent="0.25">
      <c r="H2276" s="14"/>
    </row>
    <row r="2277" spans="8:8" x14ac:dyDescent="0.25">
      <c r="H2277" s="14"/>
    </row>
    <row r="2278" spans="8:8" x14ac:dyDescent="0.25">
      <c r="H2278" s="14"/>
    </row>
    <row r="2279" spans="8:8" x14ac:dyDescent="0.25">
      <c r="H2279" s="14"/>
    </row>
    <row r="2280" spans="8:8" x14ac:dyDescent="0.25">
      <c r="H2280" s="14"/>
    </row>
    <row r="2281" spans="8:8" x14ac:dyDescent="0.25">
      <c r="H2281" s="14"/>
    </row>
    <row r="2282" spans="8:8" x14ac:dyDescent="0.25">
      <c r="H2282" s="14"/>
    </row>
    <row r="2283" spans="8:8" x14ac:dyDescent="0.25">
      <c r="H2283" s="14"/>
    </row>
    <row r="2284" spans="8:8" x14ac:dyDescent="0.25">
      <c r="H2284" s="14"/>
    </row>
    <row r="2285" spans="8:8" x14ac:dyDescent="0.25">
      <c r="H2285" s="14"/>
    </row>
    <row r="2286" spans="8:8" x14ac:dyDescent="0.25">
      <c r="H2286" s="14"/>
    </row>
    <row r="2287" spans="8:8" x14ac:dyDescent="0.25">
      <c r="H2287" s="14"/>
    </row>
    <row r="2288" spans="8:8" x14ac:dyDescent="0.25">
      <c r="H2288" s="14"/>
    </row>
    <row r="2289" spans="8:8" x14ac:dyDescent="0.25">
      <c r="H2289" s="14"/>
    </row>
    <row r="2290" spans="8:8" x14ac:dyDescent="0.25">
      <c r="H2290" s="14"/>
    </row>
    <row r="2291" spans="8:8" x14ac:dyDescent="0.25">
      <c r="H2291" s="14"/>
    </row>
    <row r="2292" spans="8:8" x14ac:dyDescent="0.25">
      <c r="H2292" s="14"/>
    </row>
    <row r="2293" spans="8:8" x14ac:dyDescent="0.25">
      <c r="H2293" s="14"/>
    </row>
    <row r="2294" spans="8:8" x14ac:dyDescent="0.25">
      <c r="H2294" s="14"/>
    </row>
    <row r="2295" spans="8:8" x14ac:dyDescent="0.25">
      <c r="H2295" s="14"/>
    </row>
    <row r="2296" spans="8:8" x14ac:dyDescent="0.25">
      <c r="H2296" s="14"/>
    </row>
    <row r="2297" spans="8:8" x14ac:dyDescent="0.25">
      <c r="H2297" s="14"/>
    </row>
    <row r="2298" spans="8:8" x14ac:dyDescent="0.25">
      <c r="H2298" s="14"/>
    </row>
    <row r="2299" spans="8:8" x14ac:dyDescent="0.25">
      <c r="H2299" s="14"/>
    </row>
    <row r="2300" spans="8:8" x14ac:dyDescent="0.25">
      <c r="H2300" s="14"/>
    </row>
    <row r="2301" spans="8:8" x14ac:dyDescent="0.25">
      <c r="H2301" s="14"/>
    </row>
    <row r="2302" spans="8:8" x14ac:dyDescent="0.25">
      <c r="H2302" s="14"/>
    </row>
    <row r="2303" spans="8:8" x14ac:dyDescent="0.25">
      <c r="H2303" s="14"/>
    </row>
    <row r="2304" spans="8:8" x14ac:dyDescent="0.25">
      <c r="H2304" s="14"/>
    </row>
    <row r="2305" spans="8:8" x14ac:dyDescent="0.25">
      <c r="H2305" s="14"/>
    </row>
    <row r="2306" spans="8:8" x14ac:dyDescent="0.25">
      <c r="H2306" s="14"/>
    </row>
    <row r="2307" spans="8:8" x14ac:dyDescent="0.25">
      <c r="H2307" s="14"/>
    </row>
    <row r="2308" spans="8:8" x14ac:dyDescent="0.25">
      <c r="H2308" s="14"/>
    </row>
    <row r="2309" spans="8:8" x14ac:dyDescent="0.25">
      <c r="H2309" s="14"/>
    </row>
    <row r="2310" spans="8:8" x14ac:dyDescent="0.25">
      <c r="H2310" s="14"/>
    </row>
    <row r="2311" spans="8:8" x14ac:dyDescent="0.25">
      <c r="H2311" s="14"/>
    </row>
    <row r="2312" spans="8:8" x14ac:dyDescent="0.25">
      <c r="H2312" s="14"/>
    </row>
    <row r="2313" spans="8:8" x14ac:dyDescent="0.25">
      <c r="H2313" s="14"/>
    </row>
    <row r="2314" spans="8:8" x14ac:dyDescent="0.25">
      <c r="H2314" s="14"/>
    </row>
    <row r="2315" spans="8:8" x14ac:dyDescent="0.25">
      <c r="H2315" s="14"/>
    </row>
    <row r="2316" spans="8:8" x14ac:dyDescent="0.25">
      <c r="H2316" s="14"/>
    </row>
    <row r="2317" spans="8:8" x14ac:dyDescent="0.25">
      <c r="H2317" s="14"/>
    </row>
    <row r="2318" spans="8:8" x14ac:dyDescent="0.25">
      <c r="H2318" s="14"/>
    </row>
    <row r="2319" spans="8:8" x14ac:dyDescent="0.25">
      <c r="H2319" s="14"/>
    </row>
    <row r="2320" spans="8:8" x14ac:dyDescent="0.25">
      <c r="H2320" s="14"/>
    </row>
    <row r="2321" spans="8:8" x14ac:dyDescent="0.25">
      <c r="H2321" s="14"/>
    </row>
    <row r="2322" spans="8:8" x14ac:dyDescent="0.25">
      <c r="H2322" s="14"/>
    </row>
    <row r="2323" spans="8:8" x14ac:dyDescent="0.25">
      <c r="H2323" s="14"/>
    </row>
    <row r="2324" spans="8:8" x14ac:dyDescent="0.25">
      <c r="H2324" s="14"/>
    </row>
    <row r="2325" spans="8:8" x14ac:dyDescent="0.25">
      <c r="H2325" s="14"/>
    </row>
    <row r="2326" spans="8:8" x14ac:dyDescent="0.25">
      <c r="H2326" s="14"/>
    </row>
    <row r="2327" spans="8:8" x14ac:dyDescent="0.25">
      <c r="H2327" s="14"/>
    </row>
    <row r="2328" spans="8:8" x14ac:dyDescent="0.25">
      <c r="H2328" s="14"/>
    </row>
    <row r="2329" spans="8:8" x14ac:dyDescent="0.25">
      <c r="H2329" s="14"/>
    </row>
    <row r="2330" spans="8:8" x14ac:dyDescent="0.25">
      <c r="H2330" s="14"/>
    </row>
    <row r="2331" spans="8:8" x14ac:dyDescent="0.25">
      <c r="H2331" s="14"/>
    </row>
    <row r="2332" spans="8:8" x14ac:dyDescent="0.25">
      <c r="H2332" s="14"/>
    </row>
    <row r="2333" spans="8:8" x14ac:dyDescent="0.25">
      <c r="H2333" s="14"/>
    </row>
    <row r="2334" spans="8:8" x14ac:dyDescent="0.25">
      <c r="H2334" s="14"/>
    </row>
    <row r="2335" spans="8:8" x14ac:dyDescent="0.25">
      <c r="H2335" s="14"/>
    </row>
    <row r="2336" spans="8:8" x14ac:dyDescent="0.25">
      <c r="H2336" s="14"/>
    </row>
    <row r="2337" spans="8:8" x14ac:dyDescent="0.25">
      <c r="H2337" s="14"/>
    </row>
    <row r="2338" spans="8:8" x14ac:dyDescent="0.25">
      <c r="H2338" s="14"/>
    </row>
    <row r="2339" spans="8:8" x14ac:dyDescent="0.25">
      <c r="H2339" s="14"/>
    </row>
    <row r="2340" spans="8:8" x14ac:dyDescent="0.25">
      <c r="H2340" s="14"/>
    </row>
    <row r="2341" spans="8:8" x14ac:dyDescent="0.25">
      <c r="H2341" s="14"/>
    </row>
    <row r="2342" spans="8:8" x14ac:dyDescent="0.25">
      <c r="H2342" s="14"/>
    </row>
    <row r="2343" spans="8:8" x14ac:dyDescent="0.25">
      <c r="H2343" s="14"/>
    </row>
    <row r="2344" spans="8:8" x14ac:dyDescent="0.25">
      <c r="H2344" s="14"/>
    </row>
    <row r="2345" spans="8:8" x14ac:dyDescent="0.25">
      <c r="H2345" s="14"/>
    </row>
    <row r="2346" spans="8:8" x14ac:dyDescent="0.25">
      <c r="H2346" s="14"/>
    </row>
    <row r="2347" spans="8:8" x14ac:dyDescent="0.25">
      <c r="H2347" s="14"/>
    </row>
    <row r="2348" spans="8:8" x14ac:dyDescent="0.25">
      <c r="H2348" s="14"/>
    </row>
    <row r="2349" spans="8:8" x14ac:dyDescent="0.25">
      <c r="H2349" s="14"/>
    </row>
    <row r="2350" spans="8:8" x14ac:dyDescent="0.25">
      <c r="H2350" s="14"/>
    </row>
    <row r="2351" spans="8:8" x14ac:dyDescent="0.25">
      <c r="H2351" s="14"/>
    </row>
    <row r="2352" spans="8:8" x14ac:dyDescent="0.25">
      <c r="H2352" s="14"/>
    </row>
    <row r="2353" spans="8:8" x14ac:dyDescent="0.25">
      <c r="H2353" s="14"/>
    </row>
    <row r="2354" spans="8:8" x14ac:dyDescent="0.25">
      <c r="H2354" s="14"/>
    </row>
    <row r="2355" spans="8:8" x14ac:dyDescent="0.25">
      <c r="H2355" s="14"/>
    </row>
    <row r="2356" spans="8:8" x14ac:dyDescent="0.25">
      <c r="H2356" s="14"/>
    </row>
    <row r="2357" spans="8:8" x14ac:dyDescent="0.25">
      <c r="H2357" s="14"/>
    </row>
    <row r="2358" spans="8:8" x14ac:dyDescent="0.25">
      <c r="H2358" s="14"/>
    </row>
    <row r="2359" spans="8:8" x14ac:dyDescent="0.25">
      <c r="H2359" s="14"/>
    </row>
    <row r="2360" spans="8:8" x14ac:dyDescent="0.25">
      <c r="H2360" s="14"/>
    </row>
    <row r="2361" spans="8:8" x14ac:dyDescent="0.25">
      <c r="H2361" s="14"/>
    </row>
    <row r="2362" spans="8:8" x14ac:dyDescent="0.25">
      <c r="H2362" s="14"/>
    </row>
    <row r="2363" spans="8:8" x14ac:dyDescent="0.25">
      <c r="H2363" s="14"/>
    </row>
    <row r="2364" spans="8:8" x14ac:dyDescent="0.25">
      <c r="H2364" s="14"/>
    </row>
    <row r="2365" spans="8:8" x14ac:dyDescent="0.25">
      <c r="H2365" s="14"/>
    </row>
    <row r="2366" spans="8:8" x14ac:dyDescent="0.25">
      <c r="H2366" s="14"/>
    </row>
    <row r="2367" spans="8:8" x14ac:dyDescent="0.25">
      <c r="H2367" s="14"/>
    </row>
    <row r="2368" spans="8:8" x14ac:dyDescent="0.25">
      <c r="H2368" s="14"/>
    </row>
    <row r="2369" spans="8:8" x14ac:dyDescent="0.25">
      <c r="H2369" s="14"/>
    </row>
    <row r="2370" spans="8:8" x14ac:dyDescent="0.25">
      <c r="H2370" s="14"/>
    </row>
    <row r="2371" spans="8:8" x14ac:dyDescent="0.25">
      <c r="H2371" s="14"/>
    </row>
    <row r="2372" spans="8:8" x14ac:dyDescent="0.25">
      <c r="H2372" s="14"/>
    </row>
    <row r="2373" spans="8:8" x14ac:dyDescent="0.25">
      <c r="H2373" s="14"/>
    </row>
    <row r="2374" spans="8:8" x14ac:dyDescent="0.25">
      <c r="H2374" s="14"/>
    </row>
    <row r="2375" spans="8:8" x14ac:dyDescent="0.25">
      <c r="H2375" s="14"/>
    </row>
    <row r="2376" spans="8:8" x14ac:dyDescent="0.25">
      <c r="H2376" s="14"/>
    </row>
    <row r="2377" spans="8:8" x14ac:dyDescent="0.25">
      <c r="H2377" s="14"/>
    </row>
    <row r="2378" spans="8:8" x14ac:dyDescent="0.25">
      <c r="H2378" s="14"/>
    </row>
    <row r="2379" spans="8:8" x14ac:dyDescent="0.25">
      <c r="H2379" s="14"/>
    </row>
    <row r="2380" spans="8:8" x14ac:dyDescent="0.25">
      <c r="H2380" s="14"/>
    </row>
    <row r="2381" spans="8:8" x14ac:dyDescent="0.25">
      <c r="H2381" s="14"/>
    </row>
    <row r="2382" spans="8:8" x14ac:dyDescent="0.25">
      <c r="H2382" s="14"/>
    </row>
    <row r="2383" spans="8:8" x14ac:dyDescent="0.25">
      <c r="H2383" s="14"/>
    </row>
    <row r="2384" spans="8:8" x14ac:dyDescent="0.25">
      <c r="H2384" s="14"/>
    </row>
    <row r="2385" spans="8:8" x14ac:dyDescent="0.25">
      <c r="H2385" s="14"/>
    </row>
    <row r="2386" spans="8:8" x14ac:dyDescent="0.25">
      <c r="H2386" s="14"/>
    </row>
    <row r="2387" spans="8:8" x14ac:dyDescent="0.25">
      <c r="H2387" s="14"/>
    </row>
    <row r="2388" spans="8:8" x14ac:dyDescent="0.25">
      <c r="H2388" s="14"/>
    </row>
    <row r="2389" spans="8:8" x14ac:dyDescent="0.25">
      <c r="H2389" s="14"/>
    </row>
    <row r="2390" spans="8:8" x14ac:dyDescent="0.25">
      <c r="H2390" s="14"/>
    </row>
    <row r="2391" spans="8:8" x14ac:dyDescent="0.25">
      <c r="H2391" s="14"/>
    </row>
    <row r="2392" spans="8:8" x14ac:dyDescent="0.25">
      <c r="H2392" s="14"/>
    </row>
    <row r="2393" spans="8:8" x14ac:dyDescent="0.25">
      <c r="H2393" s="14"/>
    </row>
    <row r="2394" spans="8:8" x14ac:dyDescent="0.25">
      <c r="H2394" s="14"/>
    </row>
    <row r="2395" spans="8:8" x14ac:dyDescent="0.25">
      <c r="H2395" s="14"/>
    </row>
    <row r="2396" spans="8:8" x14ac:dyDescent="0.25">
      <c r="H2396" s="14"/>
    </row>
    <row r="2397" spans="8:8" x14ac:dyDescent="0.25">
      <c r="H2397" s="14"/>
    </row>
    <row r="2398" spans="8:8" x14ac:dyDescent="0.25">
      <c r="H2398" s="14"/>
    </row>
    <row r="2399" spans="8:8" x14ac:dyDescent="0.25">
      <c r="H2399" s="14"/>
    </row>
    <row r="2400" spans="8:8" x14ac:dyDescent="0.25">
      <c r="H2400" s="14"/>
    </row>
    <row r="2401" spans="8:8" x14ac:dyDescent="0.25">
      <c r="H2401" s="14"/>
    </row>
    <row r="2402" spans="8:8" x14ac:dyDescent="0.25">
      <c r="H2402" s="14"/>
    </row>
    <row r="2403" spans="8:8" x14ac:dyDescent="0.25">
      <c r="H2403" s="14"/>
    </row>
    <row r="2404" spans="8:8" x14ac:dyDescent="0.25">
      <c r="H2404" s="14"/>
    </row>
    <row r="2405" spans="8:8" x14ac:dyDescent="0.25">
      <c r="H2405" s="14"/>
    </row>
    <row r="2406" spans="8:8" x14ac:dyDescent="0.25">
      <c r="H2406" s="14"/>
    </row>
    <row r="2407" spans="8:8" x14ac:dyDescent="0.25">
      <c r="H2407" s="14"/>
    </row>
    <row r="2408" spans="8:8" x14ac:dyDescent="0.25">
      <c r="H2408" s="14"/>
    </row>
    <row r="2409" spans="8:8" x14ac:dyDescent="0.25">
      <c r="H2409" s="14"/>
    </row>
    <row r="2410" spans="8:8" x14ac:dyDescent="0.25">
      <c r="H2410" s="14"/>
    </row>
    <row r="2411" spans="8:8" x14ac:dyDescent="0.25">
      <c r="H2411" s="14"/>
    </row>
    <row r="2412" spans="8:8" x14ac:dyDescent="0.25">
      <c r="H2412" s="14"/>
    </row>
    <row r="2413" spans="8:8" x14ac:dyDescent="0.25">
      <c r="H2413" s="14"/>
    </row>
    <row r="2414" spans="8:8" x14ac:dyDescent="0.25">
      <c r="H2414" s="14"/>
    </row>
    <row r="2415" spans="8:8" x14ac:dyDescent="0.25">
      <c r="H2415" s="14"/>
    </row>
    <row r="2416" spans="8:8" x14ac:dyDescent="0.25">
      <c r="H2416" s="14"/>
    </row>
    <row r="2417" spans="8:8" x14ac:dyDescent="0.25">
      <c r="H2417" s="14"/>
    </row>
    <row r="2418" spans="8:8" x14ac:dyDescent="0.25">
      <c r="H2418" s="14"/>
    </row>
    <row r="2419" spans="8:8" x14ac:dyDescent="0.25">
      <c r="H2419" s="14"/>
    </row>
    <row r="2420" spans="8:8" x14ac:dyDescent="0.25">
      <c r="H2420" s="14"/>
    </row>
    <row r="2421" spans="8:8" x14ac:dyDescent="0.25">
      <c r="H2421" s="14"/>
    </row>
    <row r="2422" spans="8:8" x14ac:dyDescent="0.25">
      <c r="H2422" s="14"/>
    </row>
    <row r="2423" spans="8:8" x14ac:dyDescent="0.25">
      <c r="H2423" s="14"/>
    </row>
    <row r="2424" spans="8:8" x14ac:dyDescent="0.25">
      <c r="H2424" s="14"/>
    </row>
    <row r="2425" spans="8:8" x14ac:dyDescent="0.25">
      <c r="H2425" s="14"/>
    </row>
    <row r="2426" spans="8:8" x14ac:dyDescent="0.25">
      <c r="H2426" s="14"/>
    </row>
    <row r="2427" spans="8:8" x14ac:dyDescent="0.25">
      <c r="H2427" s="14"/>
    </row>
    <row r="2428" spans="8:8" x14ac:dyDescent="0.25">
      <c r="H2428" s="14"/>
    </row>
    <row r="2429" spans="8:8" x14ac:dyDescent="0.25">
      <c r="H2429" s="14"/>
    </row>
    <row r="2430" spans="8:8" x14ac:dyDescent="0.25">
      <c r="H2430" s="14"/>
    </row>
    <row r="2431" spans="8:8" x14ac:dyDescent="0.25">
      <c r="H2431" s="14"/>
    </row>
    <row r="2432" spans="8:8" x14ac:dyDescent="0.25">
      <c r="H2432" s="14"/>
    </row>
    <row r="2433" spans="8:8" x14ac:dyDescent="0.25">
      <c r="H2433" s="14"/>
    </row>
    <row r="2434" spans="8:8" x14ac:dyDescent="0.25">
      <c r="H2434" s="14"/>
    </row>
    <row r="2435" spans="8:8" x14ac:dyDescent="0.25">
      <c r="H2435" s="14"/>
    </row>
    <row r="2436" spans="8:8" x14ac:dyDescent="0.25">
      <c r="H2436" s="14"/>
    </row>
    <row r="2437" spans="8:8" x14ac:dyDescent="0.25">
      <c r="H2437" s="14"/>
    </row>
    <row r="2438" spans="8:8" x14ac:dyDescent="0.25">
      <c r="H2438" s="14"/>
    </row>
    <row r="2439" spans="8:8" x14ac:dyDescent="0.25">
      <c r="H2439" s="14"/>
    </row>
    <row r="2440" spans="8:8" x14ac:dyDescent="0.25">
      <c r="H2440" s="14"/>
    </row>
    <row r="2441" spans="8:8" x14ac:dyDescent="0.25">
      <c r="H2441" s="14"/>
    </row>
    <row r="2442" spans="8:8" x14ac:dyDescent="0.25">
      <c r="H2442" s="14"/>
    </row>
    <row r="2443" spans="8:8" x14ac:dyDescent="0.25">
      <c r="H2443" s="14"/>
    </row>
    <row r="2444" spans="8:8" x14ac:dyDescent="0.25">
      <c r="H2444" s="14"/>
    </row>
    <row r="2445" spans="8:8" x14ac:dyDescent="0.25">
      <c r="H2445" s="14"/>
    </row>
    <row r="2446" spans="8:8" x14ac:dyDescent="0.25">
      <c r="H2446" s="14"/>
    </row>
    <row r="2447" spans="8:8" x14ac:dyDescent="0.25">
      <c r="H2447" s="14"/>
    </row>
    <row r="2448" spans="8:8" x14ac:dyDescent="0.25">
      <c r="H2448" s="14"/>
    </row>
    <row r="2449" spans="8:8" x14ac:dyDescent="0.25">
      <c r="H2449" s="14"/>
    </row>
    <row r="2450" spans="8:8" x14ac:dyDescent="0.25">
      <c r="H2450" s="14"/>
    </row>
    <row r="2451" spans="8:8" x14ac:dyDescent="0.25">
      <c r="H2451" s="14"/>
    </row>
    <row r="2452" spans="8:8" x14ac:dyDescent="0.25">
      <c r="H2452" s="14"/>
    </row>
    <row r="2453" spans="8:8" x14ac:dyDescent="0.25">
      <c r="H2453" s="14"/>
    </row>
    <row r="2454" spans="8:8" x14ac:dyDescent="0.25">
      <c r="H2454" s="14"/>
    </row>
    <row r="2455" spans="8:8" x14ac:dyDescent="0.25">
      <c r="H2455" s="14"/>
    </row>
    <row r="2456" spans="8:8" x14ac:dyDescent="0.25">
      <c r="H2456" s="14"/>
    </row>
    <row r="2457" spans="8:8" x14ac:dyDescent="0.25">
      <c r="H2457" s="14"/>
    </row>
    <row r="2458" spans="8:8" x14ac:dyDescent="0.25">
      <c r="H2458" s="14"/>
    </row>
    <row r="2459" spans="8:8" x14ac:dyDescent="0.25">
      <c r="H2459" s="14"/>
    </row>
    <row r="2460" spans="8:8" x14ac:dyDescent="0.25">
      <c r="H2460" s="14"/>
    </row>
    <row r="2461" spans="8:8" x14ac:dyDescent="0.25">
      <c r="H2461" s="14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GetFactor">
                <anchor moveWithCells="1" sizeWithCells="1">
                  <from>
                    <xdr:col>5</xdr:col>
                    <xdr:colOff>85725</xdr:colOff>
                    <xdr:row>3</xdr:row>
                    <xdr:rowOff>28575</xdr:rowOff>
                  </from>
                  <to>
                    <xdr:col>7</xdr:col>
                    <xdr:colOff>123825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92D050"/>
  </sheetPr>
  <dimension ref="A1:R74"/>
  <sheetViews>
    <sheetView zoomScale="85" zoomScaleNormal="85" workbookViewId="0">
      <pane ySplit="2" topLeftCell="A3" activePane="bottomLeft" state="frozen"/>
      <selection pane="bottomLeft" activeCell="K4" sqref="K4"/>
    </sheetView>
  </sheetViews>
  <sheetFormatPr defaultColWidth="9.140625" defaultRowHeight="15" x14ac:dyDescent="0.25"/>
  <cols>
    <col min="1" max="1" width="9.140625" style="18" customWidth="1"/>
    <col min="2" max="9" width="9.140625" style="18"/>
    <col min="10" max="10" width="12.85546875" style="18" customWidth="1"/>
    <col min="11" max="11" width="7.5703125" style="18" customWidth="1"/>
    <col min="12" max="12" width="13" style="18" customWidth="1"/>
    <col min="13" max="13" width="5.140625" style="18" customWidth="1"/>
    <col min="14" max="14" width="12.7109375" style="18" customWidth="1"/>
    <col min="15" max="15" width="4.7109375" style="18" customWidth="1"/>
    <col min="16" max="16" width="9.140625" style="18"/>
    <col min="17" max="17" width="5" style="18" customWidth="1"/>
    <col min="18" max="16384" width="9.140625" style="18"/>
  </cols>
  <sheetData>
    <row r="1" spans="1:11" ht="20.25" customHeight="1" thickBot="1" x14ac:dyDescent="0.3">
      <c r="A1" s="19" t="s">
        <v>0</v>
      </c>
      <c r="B1" s="20"/>
    </row>
    <row r="2" spans="1:11" ht="20.25" customHeight="1" thickTop="1" x14ac:dyDescent="0.25"/>
    <row r="3" spans="1:11" x14ac:dyDescent="0.25">
      <c r="A3" s="21" t="s">
        <v>2148</v>
      </c>
      <c r="J3" s="21" t="s">
        <v>2152</v>
      </c>
    </row>
    <row r="4" spans="1:11" x14ac:dyDescent="0.25">
      <c r="A4" s="23" t="s">
        <v>2142</v>
      </c>
      <c r="B4" s="23"/>
      <c r="C4" s="23"/>
      <c r="D4" s="17" t="s">
        <v>2171</v>
      </c>
      <c r="J4" s="18" t="s">
        <v>2153</v>
      </c>
      <c r="K4" s="18" t="s">
        <v>2154</v>
      </c>
    </row>
    <row r="5" spans="1:11" x14ac:dyDescent="0.25">
      <c r="A5" s="23" t="s">
        <v>2143</v>
      </c>
      <c r="B5" s="23"/>
      <c r="C5" s="23"/>
      <c r="D5" s="17" t="s">
        <v>2173</v>
      </c>
      <c r="J5" s="18" t="s">
        <v>2175</v>
      </c>
    </row>
    <row r="6" spans="1:11" x14ac:dyDescent="0.25">
      <c r="A6" s="23" t="s">
        <v>2144</v>
      </c>
      <c r="B6" s="23"/>
      <c r="C6" s="23"/>
      <c r="D6" s="17" t="s">
        <v>2174</v>
      </c>
      <c r="J6" s="18" t="s">
        <v>2176</v>
      </c>
    </row>
    <row r="7" spans="1:11" x14ac:dyDescent="0.25">
      <c r="D7" s="17"/>
      <c r="J7" s="18" t="s">
        <v>2172</v>
      </c>
    </row>
    <row r="8" spans="1:11" x14ac:dyDescent="0.25">
      <c r="A8" s="21" t="s">
        <v>2149</v>
      </c>
      <c r="D8" s="17"/>
      <c r="J8" s="18" t="s">
        <v>2155</v>
      </c>
    </row>
    <row r="9" spans="1:11" x14ac:dyDescent="0.25">
      <c r="A9" s="23" t="s">
        <v>2147</v>
      </c>
      <c r="B9" s="23"/>
      <c r="C9" s="23"/>
      <c r="D9" s="17" t="s">
        <v>2158</v>
      </c>
    </row>
    <row r="10" spans="1:11" x14ac:dyDescent="0.25">
      <c r="A10" s="23" t="s">
        <v>2146</v>
      </c>
      <c r="B10" s="23"/>
      <c r="C10" s="23"/>
      <c r="D10" s="17" t="s">
        <v>2159</v>
      </c>
      <c r="J10" s="18" t="s">
        <v>2153</v>
      </c>
      <c r="K10" s="18" t="s">
        <v>2156</v>
      </c>
    </row>
    <row r="11" spans="1:11" x14ac:dyDescent="0.25">
      <c r="A11" s="23" t="s">
        <v>2145</v>
      </c>
      <c r="B11" s="23"/>
      <c r="C11" s="23"/>
      <c r="D11" s="17" t="s">
        <v>2160</v>
      </c>
      <c r="J11" s="18" t="s">
        <v>2163</v>
      </c>
    </row>
    <row r="12" spans="1:11" x14ac:dyDescent="0.25">
      <c r="D12" s="17"/>
      <c r="J12" s="18" t="s">
        <v>2164</v>
      </c>
    </row>
    <row r="13" spans="1:11" x14ac:dyDescent="0.25">
      <c r="A13" s="21" t="s">
        <v>2150</v>
      </c>
      <c r="D13" s="17"/>
      <c r="J13" s="18" t="s">
        <v>2165</v>
      </c>
    </row>
    <row r="14" spans="1:11" x14ac:dyDescent="0.25">
      <c r="A14" s="23" t="s">
        <v>2151</v>
      </c>
      <c r="B14" s="22"/>
      <c r="C14" s="22"/>
      <c r="D14" s="17" t="s">
        <v>2161</v>
      </c>
      <c r="J14" s="18" t="s">
        <v>2155</v>
      </c>
    </row>
    <row r="16" spans="1:11" x14ac:dyDescent="0.25">
      <c r="A16" s="21" t="s">
        <v>2177</v>
      </c>
      <c r="J16" s="18" t="s">
        <v>2153</v>
      </c>
      <c r="K16" s="18" t="s">
        <v>2157</v>
      </c>
    </row>
    <row r="17" spans="1:18" x14ac:dyDescent="0.25">
      <c r="A17" s="23" t="s">
        <v>2178</v>
      </c>
      <c r="B17" s="22"/>
      <c r="C17" s="22"/>
      <c r="D17" s="17">
        <v>1</v>
      </c>
      <c r="E17" s="24"/>
      <c r="F17" s="24"/>
      <c r="J17" s="18" t="s">
        <v>2162</v>
      </c>
    </row>
    <row r="18" spans="1:18" x14ac:dyDescent="0.25">
      <c r="A18" s="21"/>
      <c r="E18" s="24"/>
      <c r="F18" s="24"/>
      <c r="G18" s="24"/>
      <c r="H18" s="24"/>
      <c r="J18" s="18" t="s">
        <v>2155</v>
      </c>
    </row>
    <row r="19" spans="1:18" x14ac:dyDescent="0.25">
      <c r="A19" s="21" t="s">
        <v>2179</v>
      </c>
      <c r="E19" s="24"/>
      <c r="F19" s="24"/>
      <c r="G19" s="24"/>
      <c r="H19" s="24"/>
    </row>
    <row r="20" spans="1:18" x14ac:dyDescent="0.25">
      <c r="A20" s="16" t="s">
        <v>2180</v>
      </c>
      <c r="B20" s="16" t="s">
        <v>2182</v>
      </c>
      <c r="C20" s="16" t="s">
        <v>2181</v>
      </c>
      <c r="D20" s="16" t="s">
        <v>2183</v>
      </c>
      <c r="E20" s="16" t="s">
        <v>2184</v>
      </c>
      <c r="F20" s="15"/>
      <c r="G20" s="15"/>
      <c r="H20" s="15"/>
      <c r="J20" t="s">
        <v>2166</v>
      </c>
      <c r="K20">
        <v>0</v>
      </c>
      <c r="L20"/>
      <c r="M20"/>
      <c r="N20"/>
      <c r="O20"/>
      <c r="P20" t="s">
        <v>2167</v>
      </c>
      <c r="Q20">
        <v>0</v>
      </c>
      <c r="R20" t="s">
        <v>2168</v>
      </c>
    </row>
    <row r="21" spans="1:18" x14ac:dyDescent="0.25">
      <c r="A21" s="25" t="s">
        <v>2110</v>
      </c>
      <c r="B21" s="25" t="s">
        <v>2111</v>
      </c>
      <c r="C21" s="25" t="s">
        <v>2111</v>
      </c>
      <c r="D21" s="25" t="s">
        <v>2112</v>
      </c>
      <c r="E21" s="25" t="s">
        <v>2112</v>
      </c>
      <c r="F21" s="25"/>
      <c r="G21" s="28"/>
      <c r="H21" s="28"/>
      <c r="I21" s="26"/>
      <c r="J21" t="s">
        <v>2166</v>
      </c>
      <c r="K21">
        <v>1</v>
      </c>
      <c r="L21" t="s">
        <v>2169</v>
      </c>
      <c r="M21">
        <v>0</v>
      </c>
      <c r="N21"/>
      <c r="O21"/>
      <c r="P21" t="s">
        <v>2167</v>
      </c>
      <c r="Q21">
        <v>1</v>
      </c>
      <c r="R21" t="s">
        <v>2168</v>
      </c>
    </row>
    <row r="22" spans="1:18" x14ac:dyDescent="0.25">
      <c r="A22" s="25" t="s">
        <v>2111</v>
      </c>
      <c r="B22" s="25" t="s">
        <v>2112</v>
      </c>
      <c r="C22" s="25" t="s">
        <v>2112</v>
      </c>
      <c r="D22" s="25" t="s">
        <v>2112</v>
      </c>
      <c r="E22" s="25" t="s">
        <v>2112</v>
      </c>
      <c r="F22" s="25"/>
      <c r="G22" s="27"/>
      <c r="H22" s="27"/>
      <c r="I22" s="26"/>
      <c r="J22" t="s">
        <v>2166</v>
      </c>
      <c r="K22">
        <v>1</v>
      </c>
      <c r="L22" t="s">
        <v>2169</v>
      </c>
      <c r="M22">
        <v>1</v>
      </c>
      <c r="N22" t="s">
        <v>2170</v>
      </c>
      <c r="O22">
        <v>0</v>
      </c>
      <c r="P22" t="s">
        <v>2167</v>
      </c>
      <c r="Q22">
        <v>2</v>
      </c>
      <c r="R22" t="s">
        <v>2168</v>
      </c>
    </row>
    <row r="23" spans="1:18" x14ac:dyDescent="0.25">
      <c r="A23" s="25"/>
      <c r="B23" s="25"/>
      <c r="C23" s="25"/>
      <c r="D23" s="25"/>
      <c r="E23" s="25"/>
      <c r="F23" s="25"/>
      <c r="G23" s="27"/>
      <c r="H23" s="27"/>
      <c r="I23" s="26"/>
      <c r="J23" t="s">
        <v>2166</v>
      </c>
      <c r="K23">
        <v>1</v>
      </c>
      <c r="L23" t="s">
        <v>2169</v>
      </c>
      <c r="M23">
        <v>1</v>
      </c>
      <c r="N23" t="s">
        <v>2170</v>
      </c>
      <c r="O23">
        <v>1</v>
      </c>
      <c r="P23" t="s">
        <v>2167</v>
      </c>
      <c r="Q23">
        <v>3</v>
      </c>
      <c r="R23" t="s">
        <v>2168</v>
      </c>
    </row>
    <row r="24" spans="1:18" x14ac:dyDescent="0.25">
      <c r="A24" s="25"/>
      <c r="B24" s="25"/>
      <c r="C24" s="25"/>
      <c r="D24" s="25"/>
      <c r="E24" s="25"/>
      <c r="F24" s="25"/>
      <c r="G24" s="27"/>
      <c r="H24" s="27"/>
      <c r="I24" s="26"/>
      <c r="J24" t="s">
        <v>2166</v>
      </c>
      <c r="K24">
        <v>1</v>
      </c>
      <c r="L24" t="s">
        <v>2169</v>
      </c>
      <c r="M24">
        <v>2</v>
      </c>
      <c r="N24" t="s">
        <v>2170</v>
      </c>
      <c r="O24">
        <v>0</v>
      </c>
      <c r="P24" t="s">
        <v>2167</v>
      </c>
      <c r="Q24">
        <v>4</v>
      </c>
      <c r="R24" t="s">
        <v>2168</v>
      </c>
    </row>
    <row r="25" spans="1:18" x14ac:dyDescent="0.25">
      <c r="A25" s="25"/>
      <c r="B25" s="25"/>
      <c r="C25" s="25"/>
      <c r="D25" s="25"/>
      <c r="E25" s="25"/>
      <c r="F25" s="25"/>
      <c r="G25" s="27"/>
      <c r="H25" s="27"/>
      <c r="I25" s="26"/>
      <c r="J25" t="s">
        <v>2166</v>
      </c>
      <c r="K25">
        <v>1</v>
      </c>
      <c r="L25" t="s">
        <v>2169</v>
      </c>
      <c r="M25">
        <v>2</v>
      </c>
      <c r="N25" t="s">
        <v>2170</v>
      </c>
      <c r="O25">
        <v>1</v>
      </c>
      <c r="P25" t="s">
        <v>2167</v>
      </c>
      <c r="Q25">
        <v>5</v>
      </c>
      <c r="R25" t="s">
        <v>2168</v>
      </c>
    </row>
    <row r="26" spans="1:18" x14ac:dyDescent="0.25">
      <c r="A26" s="25"/>
      <c r="B26" s="25"/>
      <c r="C26" s="25"/>
      <c r="D26" s="25"/>
      <c r="E26" s="25"/>
      <c r="F26" s="25"/>
      <c r="G26" s="27"/>
      <c r="H26" s="27"/>
      <c r="I26" s="26"/>
      <c r="J26" t="s">
        <v>2166</v>
      </c>
      <c r="K26">
        <v>1</v>
      </c>
      <c r="L26" t="s">
        <v>2169</v>
      </c>
      <c r="M26">
        <v>3</v>
      </c>
      <c r="N26" t="s">
        <v>2170</v>
      </c>
      <c r="O26">
        <v>0</v>
      </c>
      <c r="P26" t="s">
        <v>2167</v>
      </c>
      <c r="Q26">
        <v>6</v>
      </c>
      <c r="R26" t="s">
        <v>2168</v>
      </c>
    </row>
    <row r="27" spans="1:18" x14ac:dyDescent="0.25">
      <c r="A27" s="27"/>
      <c r="B27" s="27"/>
      <c r="C27" s="27"/>
      <c r="D27" s="27"/>
      <c r="E27" s="27"/>
      <c r="F27" s="27"/>
      <c r="G27" s="27"/>
      <c r="H27" s="27"/>
      <c r="I27" s="26"/>
      <c r="J27" t="s">
        <v>2166</v>
      </c>
      <c r="K27">
        <v>1</v>
      </c>
      <c r="L27" t="s">
        <v>2169</v>
      </c>
      <c r="M27">
        <v>3</v>
      </c>
      <c r="N27" t="s">
        <v>2170</v>
      </c>
      <c r="O27">
        <v>1</v>
      </c>
      <c r="P27" t="s">
        <v>2167</v>
      </c>
      <c r="Q27">
        <v>7</v>
      </c>
      <c r="R27" t="s">
        <v>2168</v>
      </c>
    </row>
    <row r="28" spans="1:18" x14ac:dyDescent="0.25">
      <c r="A28" s="27"/>
      <c r="B28" s="27"/>
      <c r="C28" s="27"/>
      <c r="D28" s="27"/>
      <c r="E28" s="27"/>
      <c r="F28" s="27"/>
      <c r="G28" s="27"/>
      <c r="H28" s="27"/>
      <c r="I28" s="26"/>
      <c r="J28" t="s">
        <v>2166</v>
      </c>
      <c r="K28">
        <v>2</v>
      </c>
      <c r="L28" t="s">
        <v>2169</v>
      </c>
      <c r="M28">
        <v>0</v>
      </c>
      <c r="N28"/>
      <c r="O28"/>
      <c r="P28" t="s">
        <v>2167</v>
      </c>
      <c r="Q28">
        <v>8</v>
      </c>
      <c r="R28" t="s">
        <v>2168</v>
      </c>
    </row>
    <row r="29" spans="1:18" x14ac:dyDescent="0.25">
      <c r="A29" s="27"/>
      <c r="B29" s="27"/>
      <c r="C29" s="27"/>
      <c r="D29" s="27"/>
      <c r="E29" s="27"/>
      <c r="F29" s="27"/>
      <c r="G29" s="27"/>
      <c r="H29" s="27"/>
      <c r="I29" s="26"/>
      <c r="J29" t="s">
        <v>2166</v>
      </c>
      <c r="K29">
        <v>2</v>
      </c>
      <c r="L29" t="s">
        <v>2169</v>
      </c>
      <c r="M29">
        <v>1</v>
      </c>
      <c r="N29" t="s">
        <v>2170</v>
      </c>
      <c r="O29">
        <v>0</v>
      </c>
      <c r="P29" t="s">
        <v>2167</v>
      </c>
      <c r="Q29">
        <v>9</v>
      </c>
      <c r="R29" t="s">
        <v>2168</v>
      </c>
    </row>
    <row r="30" spans="1:18" x14ac:dyDescent="0.25">
      <c r="A30" s="27"/>
      <c r="B30" s="27"/>
      <c r="C30" s="27"/>
      <c r="D30" s="27"/>
      <c r="E30" s="27"/>
      <c r="F30" s="27"/>
      <c r="G30" s="27"/>
      <c r="H30" s="27"/>
      <c r="I30" s="26"/>
      <c r="J30" t="s">
        <v>2166</v>
      </c>
      <c r="K30">
        <v>2</v>
      </c>
      <c r="L30" t="s">
        <v>2169</v>
      </c>
      <c r="M30">
        <v>1</v>
      </c>
      <c r="N30" t="s">
        <v>2170</v>
      </c>
      <c r="O30">
        <v>1</v>
      </c>
      <c r="P30" t="s">
        <v>2167</v>
      </c>
      <c r="Q30">
        <v>10</v>
      </c>
      <c r="R30" t="s">
        <v>2168</v>
      </c>
    </row>
    <row r="31" spans="1:18" x14ac:dyDescent="0.25">
      <c r="A31" s="27"/>
      <c r="B31" s="27"/>
      <c r="C31" s="27"/>
      <c r="D31" s="27"/>
      <c r="E31" s="27"/>
      <c r="F31" s="27"/>
      <c r="G31" s="27"/>
      <c r="H31" s="27"/>
      <c r="I31" s="26"/>
      <c r="J31" t="s">
        <v>2166</v>
      </c>
      <c r="K31">
        <v>2</v>
      </c>
      <c r="L31" t="s">
        <v>2169</v>
      </c>
      <c r="M31">
        <v>2</v>
      </c>
      <c r="N31" t="s">
        <v>2170</v>
      </c>
      <c r="O31">
        <v>0</v>
      </c>
      <c r="P31" t="s">
        <v>2167</v>
      </c>
      <c r="Q31">
        <v>11</v>
      </c>
      <c r="R31" t="s">
        <v>2168</v>
      </c>
    </row>
    <row r="32" spans="1:18" x14ac:dyDescent="0.25">
      <c r="A32" s="27"/>
      <c r="B32" s="27"/>
      <c r="C32" s="27"/>
      <c r="D32" s="27"/>
      <c r="E32" s="27"/>
      <c r="F32" s="27"/>
      <c r="G32" s="27"/>
      <c r="H32" s="27"/>
      <c r="I32" s="26"/>
      <c r="J32" t="s">
        <v>2166</v>
      </c>
      <c r="K32">
        <v>2</v>
      </c>
      <c r="L32" t="s">
        <v>2169</v>
      </c>
      <c r="M32">
        <v>2</v>
      </c>
      <c r="N32" t="s">
        <v>2170</v>
      </c>
      <c r="O32">
        <v>1</v>
      </c>
      <c r="P32" t="s">
        <v>2167</v>
      </c>
      <c r="Q32">
        <v>12</v>
      </c>
      <c r="R32" t="s">
        <v>2168</v>
      </c>
    </row>
    <row r="33" spans="1:18" x14ac:dyDescent="0.25">
      <c r="A33" s="27"/>
      <c r="B33" s="27"/>
      <c r="C33" s="27"/>
      <c r="D33" s="27"/>
      <c r="E33" s="27"/>
      <c r="F33" s="27"/>
      <c r="G33" s="27"/>
      <c r="H33" s="27"/>
      <c r="I33" s="26"/>
      <c r="J33" t="s">
        <v>2166</v>
      </c>
      <c r="K33">
        <v>2</v>
      </c>
      <c r="L33" t="s">
        <v>2169</v>
      </c>
      <c r="M33">
        <v>3</v>
      </c>
      <c r="N33" t="s">
        <v>2170</v>
      </c>
      <c r="O33">
        <v>0</v>
      </c>
      <c r="P33" t="s">
        <v>2167</v>
      </c>
      <c r="Q33">
        <v>13</v>
      </c>
      <c r="R33" t="s">
        <v>2168</v>
      </c>
    </row>
    <row r="34" spans="1:18" x14ac:dyDescent="0.25">
      <c r="A34" s="27"/>
      <c r="B34" s="27"/>
      <c r="C34" s="27"/>
      <c r="D34" s="27"/>
      <c r="E34" s="27"/>
      <c r="F34" s="27"/>
      <c r="G34" s="27"/>
      <c r="H34" s="27"/>
      <c r="I34" s="26"/>
      <c r="J34" t="s">
        <v>2166</v>
      </c>
      <c r="K34">
        <v>2</v>
      </c>
      <c r="L34" t="s">
        <v>2169</v>
      </c>
      <c r="M34">
        <v>3</v>
      </c>
      <c r="N34" t="s">
        <v>2170</v>
      </c>
      <c r="O34">
        <v>1</v>
      </c>
      <c r="P34" t="s">
        <v>2167</v>
      </c>
      <c r="Q34">
        <v>14</v>
      </c>
      <c r="R34" t="s">
        <v>2168</v>
      </c>
    </row>
    <row r="35" spans="1:18" x14ac:dyDescent="0.25">
      <c r="F35" s="27"/>
      <c r="G35" s="27"/>
      <c r="H35" s="27"/>
      <c r="I35" s="26"/>
      <c r="J35" t="s">
        <v>2166</v>
      </c>
      <c r="K35">
        <v>3</v>
      </c>
      <c r="L35" t="s">
        <v>2169</v>
      </c>
      <c r="M35">
        <v>0</v>
      </c>
      <c r="N35"/>
      <c r="O35"/>
      <c r="P35" t="s">
        <v>2167</v>
      </c>
      <c r="Q35">
        <v>15</v>
      </c>
      <c r="R35" t="s">
        <v>2168</v>
      </c>
    </row>
    <row r="36" spans="1:18" x14ac:dyDescent="0.25">
      <c r="A36" s="21" t="s">
        <v>2197</v>
      </c>
      <c r="E36" s="24"/>
      <c r="F36" s="27"/>
      <c r="G36" s="27"/>
      <c r="H36" s="27"/>
      <c r="I36" s="26"/>
      <c r="J36" t="s">
        <v>2166</v>
      </c>
      <c r="K36">
        <v>3</v>
      </c>
      <c r="L36" t="s">
        <v>2169</v>
      </c>
      <c r="M36">
        <v>1</v>
      </c>
      <c r="N36" t="s">
        <v>2170</v>
      </c>
      <c r="O36">
        <v>0</v>
      </c>
      <c r="P36" t="s">
        <v>2167</v>
      </c>
      <c r="Q36">
        <v>16</v>
      </c>
      <c r="R36" t="s">
        <v>2168</v>
      </c>
    </row>
    <row r="37" spans="1:18" x14ac:dyDescent="0.25">
      <c r="A37" s="16" t="s">
        <v>2180</v>
      </c>
      <c r="B37" s="16" t="s">
        <v>2182</v>
      </c>
      <c r="C37" s="16" t="s">
        <v>2181</v>
      </c>
      <c r="D37" s="16" t="s">
        <v>2183</v>
      </c>
      <c r="E37" s="16" t="s">
        <v>2184</v>
      </c>
      <c r="F37" s="27"/>
      <c r="G37" s="27"/>
      <c r="H37" s="27"/>
      <c r="I37" s="26"/>
      <c r="J37" t="s">
        <v>2166</v>
      </c>
      <c r="K37">
        <v>3</v>
      </c>
      <c r="L37" t="s">
        <v>2169</v>
      </c>
      <c r="M37">
        <v>1</v>
      </c>
      <c r="N37" t="s">
        <v>2170</v>
      </c>
      <c r="O37">
        <v>1</v>
      </c>
      <c r="P37" t="s">
        <v>2167</v>
      </c>
      <c r="Q37">
        <v>17</v>
      </c>
      <c r="R37" t="s">
        <v>2168</v>
      </c>
    </row>
    <row r="38" spans="1:18" x14ac:dyDescent="0.25">
      <c r="A38" s="27">
        <v>1.3</v>
      </c>
      <c r="B38" s="27">
        <v>1.4</v>
      </c>
      <c r="C38" s="27">
        <v>2.4</v>
      </c>
      <c r="D38" s="27">
        <v>3.4</v>
      </c>
      <c r="E38" s="27">
        <v>4.4000000000000004</v>
      </c>
      <c r="F38" s="27"/>
      <c r="G38" s="27"/>
      <c r="H38" s="27"/>
      <c r="I38" s="26"/>
      <c r="J38" t="s">
        <v>2166</v>
      </c>
      <c r="K38">
        <v>3</v>
      </c>
      <c r="L38" t="s">
        <v>2169</v>
      </c>
      <c r="M38">
        <v>2</v>
      </c>
      <c r="N38" t="s">
        <v>2170</v>
      </c>
      <c r="O38">
        <v>0</v>
      </c>
      <c r="P38" t="s">
        <v>2167</v>
      </c>
      <c r="Q38">
        <v>18</v>
      </c>
      <c r="R38" t="s">
        <v>2168</v>
      </c>
    </row>
    <row r="39" spans="1:18" x14ac:dyDescent="0.25">
      <c r="A39" s="27"/>
      <c r="B39" s="27"/>
      <c r="C39" s="27"/>
      <c r="D39" s="27"/>
      <c r="E39" s="27"/>
      <c r="F39" s="27"/>
      <c r="G39" s="27"/>
      <c r="H39" s="27"/>
      <c r="I39" s="26"/>
      <c r="J39" t="s">
        <v>2166</v>
      </c>
      <c r="K39">
        <v>3</v>
      </c>
      <c r="L39" t="s">
        <v>2169</v>
      </c>
      <c r="M39">
        <v>2</v>
      </c>
      <c r="N39" t="s">
        <v>2170</v>
      </c>
      <c r="O39">
        <v>1</v>
      </c>
      <c r="P39" t="s">
        <v>2167</v>
      </c>
      <c r="Q39">
        <v>19</v>
      </c>
      <c r="R39" t="s">
        <v>2168</v>
      </c>
    </row>
    <row r="40" spans="1:18" x14ac:dyDescent="0.25">
      <c r="A40" s="27"/>
      <c r="B40" s="27"/>
      <c r="C40" s="27"/>
      <c r="D40" s="27"/>
      <c r="E40" s="27"/>
      <c r="F40" s="27"/>
      <c r="G40" s="27"/>
      <c r="H40" s="27"/>
      <c r="I40" s="26"/>
      <c r="J40" t="s">
        <v>2166</v>
      </c>
      <c r="K40">
        <v>3</v>
      </c>
      <c r="L40" t="s">
        <v>2169</v>
      </c>
      <c r="M40">
        <v>3</v>
      </c>
      <c r="N40" t="s">
        <v>2170</v>
      </c>
      <c r="O40">
        <v>0</v>
      </c>
      <c r="P40" t="s">
        <v>2167</v>
      </c>
      <c r="Q40">
        <v>20</v>
      </c>
      <c r="R40" t="s">
        <v>2168</v>
      </c>
    </row>
    <row r="41" spans="1:18" x14ac:dyDescent="0.25">
      <c r="A41" s="26"/>
      <c r="B41" s="26"/>
      <c r="C41" s="26"/>
      <c r="D41" s="26"/>
      <c r="E41" s="26"/>
      <c r="F41" s="26"/>
      <c r="G41" s="26"/>
      <c r="H41" s="26"/>
      <c r="I41" s="26"/>
      <c r="J41" t="s">
        <v>2166</v>
      </c>
      <c r="K41">
        <v>3</v>
      </c>
      <c r="L41" t="s">
        <v>2169</v>
      </c>
      <c r="M41">
        <v>3</v>
      </c>
      <c r="N41" t="s">
        <v>2170</v>
      </c>
      <c r="O41">
        <v>1</v>
      </c>
      <c r="P41" t="s">
        <v>2167</v>
      </c>
      <c r="Q41">
        <v>21</v>
      </c>
      <c r="R41" t="s">
        <v>2168</v>
      </c>
    </row>
    <row r="42" spans="1:18" x14ac:dyDescent="0.25">
      <c r="A42" s="26"/>
      <c r="B42" s="26"/>
      <c r="C42" s="26"/>
      <c r="D42" s="26"/>
      <c r="E42" s="26"/>
      <c r="F42" s="26"/>
      <c r="G42" s="26"/>
      <c r="H42" s="26"/>
      <c r="I42" s="26"/>
      <c r="J42" s="18" t="s">
        <v>2155</v>
      </c>
      <c r="K42"/>
      <c r="L42"/>
      <c r="M42"/>
      <c r="N42"/>
      <c r="O42"/>
      <c r="P42"/>
      <c r="Q42"/>
      <c r="R42"/>
    </row>
    <row r="44" spans="1:18" x14ac:dyDescent="0.25">
      <c r="J44" t="s">
        <v>2198</v>
      </c>
      <c r="K44"/>
    </row>
    <row r="45" spans="1:18" x14ac:dyDescent="0.25">
      <c r="J45" s="18" t="s">
        <v>2155</v>
      </c>
      <c r="K45"/>
    </row>
    <row r="47" spans="1:18" x14ac:dyDescent="0.25">
      <c r="J47" s="18" t="s">
        <v>2192</v>
      </c>
    </row>
    <row r="48" spans="1:18" x14ac:dyDescent="0.25">
      <c r="J48" s="18" t="s">
        <v>2155</v>
      </c>
    </row>
    <row r="50" spans="10:10" x14ac:dyDescent="0.25">
      <c r="J50" s="18" t="s">
        <v>2193</v>
      </c>
    </row>
    <row r="51" spans="10:10" x14ac:dyDescent="0.25">
      <c r="J51" s="18" t="s">
        <v>2155</v>
      </c>
    </row>
    <row r="53" spans="10:10" x14ac:dyDescent="0.25">
      <c r="J53" s="18" t="s">
        <v>2194</v>
      </c>
    </row>
    <row r="54" spans="10:10" x14ac:dyDescent="0.25">
      <c r="J54" s="18" t="s">
        <v>2155</v>
      </c>
    </row>
    <row r="56" spans="10:10" x14ac:dyDescent="0.25">
      <c r="J56" s="18" t="s">
        <v>2195</v>
      </c>
    </row>
    <row r="57" spans="10:10" x14ac:dyDescent="0.25">
      <c r="J57" s="18" t="s">
        <v>2155</v>
      </c>
    </row>
    <row r="59" spans="10:10" x14ac:dyDescent="0.25">
      <c r="J59" s="18" t="s">
        <v>2196</v>
      </c>
    </row>
    <row r="60" spans="10:10" x14ac:dyDescent="0.25">
      <c r="J60" s="18" t="s">
        <v>2155</v>
      </c>
    </row>
    <row r="62" spans="10:10" x14ac:dyDescent="0.25">
      <c r="J62" s="18" t="s">
        <v>2185</v>
      </c>
    </row>
    <row r="63" spans="10:10" x14ac:dyDescent="0.25">
      <c r="J63" s="18" t="s">
        <v>2186</v>
      </c>
    </row>
    <row r="64" spans="10:10" x14ac:dyDescent="0.25">
      <c r="J64" s="18" t="s">
        <v>2187</v>
      </c>
    </row>
    <row r="65" spans="10:10" x14ac:dyDescent="0.25">
      <c r="J65" s="18" t="s">
        <v>2188</v>
      </c>
    </row>
    <row r="66" spans="10:10" x14ac:dyDescent="0.25">
      <c r="J66" s="18" t="s">
        <v>2189</v>
      </c>
    </row>
    <row r="67" spans="10:10" x14ac:dyDescent="0.25">
      <c r="J67" s="18" t="s">
        <v>2190</v>
      </c>
    </row>
    <row r="68" spans="10:10" x14ac:dyDescent="0.25">
      <c r="J68" s="18" t="s">
        <v>2191</v>
      </c>
    </row>
    <row r="70" spans="10:10" x14ac:dyDescent="0.25">
      <c r="J70" s="18" t="s">
        <v>2200</v>
      </c>
    </row>
    <row r="71" spans="10:10" x14ac:dyDescent="0.25">
      <c r="J71" s="18" t="s">
        <v>2155</v>
      </c>
    </row>
    <row r="73" spans="10:10" x14ac:dyDescent="0.25">
      <c r="J73" s="18" t="s">
        <v>2199</v>
      </c>
    </row>
    <row r="74" spans="10:10" x14ac:dyDescent="0.25">
      <c r="J74" s="18" t="s">
        <v>2155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tBP">
                <anchor moveWithCells="1" sizeWithCells="1">
                  <from>
                    <xdr:col>4</xdr:col>
                    <xdr:colOff>9525</xdr:colOff>
                    <xdr:row>0</xdr:row>
                    <xdr:rowOff>104775</xdr:rowOff>
                  </from>
                  <to>
                    <xdr:col>6</xdr:col>
                    <xdr:colOff>38100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6"/>
  <sheetViews>
    <sheetView workbookViewId="0">
      <selection sqref="A1:A56"/>
    </sheetView>
  </sheetViews>
  <sheetFormatPr defaultRowHeight="15" x14ac:dyDescent="0.25"/>
  <sheetData>
    <row r="1" spans="1:1" x14ac:dyDescent="0.25">
      <c r="A1" t="s">
        <v>2223</v>
      </c>
    </row>
    <row r="2" spans="1:1" x14ac:dyDescent="0.25">
      <c r="A2" t="s">
        <v>2224</v>
      </c>
    </row>
    <row r="3" spans="1:1" x14ac:dyDescent="0.25">
      <c r="A3" t="s">
        <v>2225</v>
      </c>
    </row>
    <row r="4" spans="1:1" x14ac:dyDescent="0.25">
      <c r="A4" t="s">
        <v>2226</v>
      </c>
    </row>
    <row r="5" spans="1:1" x14ac:dyDescent="0.25">
      <c r="A5" t="s">
        <v>2227</v>
      </c>
    </row>
    <row r="6" spans="1:1" x14ac:dyDescent="0.25">
      <c r="A6" t="s">
        <v>2228</v>
      </c>
    </row>
    <row r="7" spans="1:1" x14ac:dyDescent="0.25">
      <c r="A7" t="s">
        <v>2229</v>
      </c>
    </row>
    <row r="8" spans="1:1" x14ac:dyDescent="0.25">
      <c r="A8" t="s">
        <v>2230</v>
      </c>
    </row>
    <row r="9" spans="1:1" x14ac:dyDescent="0.25">
      <c r="A9" t="s">
        <v>2231</v>
      </c>
    </row>
    <row r="10" spans="1:1" x14ac:dyDescent="0.25">
      <c r="A10" t="s">
        <v>2232</v>
      </c>
    </row>
    <row r="11" spans="1:1" x14ac:dyDescent="0.25">
      <c r="A11" t="s">
        <v>2233</v>
      </c>
    </row>
    <row r="12" spans="1:1" x14ac:dyDescent="0.25">
      <c r="A12" t="s">
        <v>2234</v>
      </c>
    </row>
    <row r="13" spans="1:1" x14ac:dyDescent="0.25">
      <c r="A13" t="s">
        <v>2235</v>
      </c>
    </row>
    <row r="14" spans="1:1" x14ac:dyDescent="0.25">
      <c r="A14" t="s">
        <v>2236</v>
      </c>
    </row>
    <row r="15" spans="1:1" x14ac:dyDescent="0.25">
      <c r="A15" t="s">
        <v>2237</v>
      </c>
    </row>
    <row r="16" spans="1:1" x14ac:dyDescent="0.25">
      <c r="A16" t="s">
        <v>2238</v>
      </c>
    </row>
    <row r="17" spans="1:1" x14ac:dyDescent="0.25">
      <c r="A17" t="s">
        <v>2239</v>
      </c>
    </row>
    <row r="18" spans="1:1" x14ac:dyDescent="0.25">
      <c r="A18" t="s">
        <v>2240</v>
      </c>
    </row>
    <row r="19" spans="1:1" x14ac:dyDescent="0.25">
      <c r="A19" t="s">
        <v>2241</v>
      </c>
    </row>
    <row r="20" spans="1:1" x14ac:dyDescent="0.25">
      <c r="A20" t="s">
        <v>2242</v>
      </c>
    </row>
    <row r="21" spans="1:1" x14ac:dyDescent="0.25">
      <c r="A21" t="s">
        <v>2243</v>
      </c>
    </row>
    <row r="22" spans="1:1" x14ac:dyDescent="0.25">
      <c r="A22" t="s">
        <v>2244</v>
      </c>
    </row>
    <row r="23" spans="1:1" x14ac:dyDescent="0.25">
      <c r="A23" t="s">
        <v>2245</v>
      </c>
    </row>
    <row r="24" spans="1:1" x14ac:dyDescent="0.25">
      <c r="A24" t="s">
        <v>2246</v>
      </c>
    </row>
    <row r="25" spans="1:1" x14ac:dyDescent="0.25">
      <c r="A25" t="s">
        <v>2247</v>
      </c>
    </row>
    <row r="26" spans="1:1" x14ac:dyDescent="0.25">
      <c r="A26" t="s">
        <v>2248</v>
      </c>
    </row>
    <row r="27" spans="1:1" x14ac:dyDescent="0.25">
      <c r="A27" t="s">
        <v>2249</v>
      </c>
    </row>
    <row r="28" spans="1:1" x14ac:dyDescent="0.25">
      <c r="A28" t="s">
        <v>2250</v>
      </c>
    </row>
    <row r="29" spans="1:1" x14ac:dyDescent="0.25">
      <c r="A29" t="s">
        <v>2251</v>
      </c>
    </row>
    <row r="30" spans="1:1" x14ac:dyDescent="0.25">
      <c r="A30" t="s">
        <v>2252</v>
      </c>
    </row>
    <row r="31" spans="1:1" x14ac:dyDescent="0.25">
      <c r="A31" t="s">
        <v>2253</v>
      </c>
    </row>
    <row r="32" spans="1:1" x14ac:dyDescent="0.25">
      <c r="A32" t="s">
        <v>2254</v>
      </c>
    </row>
    <row r="33" spans="1:1" x14ac:dyDescent="0.25">
      <c r="A33" t="s">
        <v>2255</v>
      </c>
    </row>
    <row r="34" spans="1:1" x14ac:dyDescent="0.25">
      <c r="A34" t="s">
        <v>2256</v>
      </c>
    </row>
    <row r="35" spans="1:1" x14ac:dyDescent="0.25">
      <c r="A35" t="s">
        <v>2257</v>
      </c>
    </row>
    <row r="36" spans="1:1" x14ac:dyDescent="0.25">
      <c r="A36" t="s">
        <v>2258</v>
      </c>
    </row>
    <row r="37" spans="1:1" x14ac:dyDescent="0.25">
      <c r="A37" t="s">
        <v>2259</v>
      </c>
    </row>
    <row r="38" spans="1:1" x14ac:dyDescent="0.25">
      <c r="A38" t="s">
        <v>2260</v>
      </c>
    </row>
    <row r="39" spans="1:1" x14ac:dyDescent="0.25">
      <c r="A39" t="s">
        <v>2261</v>
      </c>
    </row>
    <row r="40" spans="1:1" x14ac:dyDescent="0.25">
      <c r="A40" t="s">
        <v>2262</v>
      </c>
    </row>
    <row r="41" spans="1:1" x14ac:dyDescent="0.25">
      <c r="A41" t="s">
        <v>2263</v>
      </c>
    </row>
    <row r="42" spans="1:1" x14ac:dyDescent="0.25">
      <c r="A42" t="s">
        <v>2264</v>
      </c>
    </row>
    <row r="43" spans="1:1" x14ac:dyDescent="0.25">
      <c r="A43" t="s">
        <v>2265</v>
      </c>
    </row>
    <row r="44" spans="1:1" x14ac:dyDescent="0.25">
      <c r="A44" t="s">
        <v>2266</v>
      </c>
    </row>
    <row r="45" spans="1:1" x14ac:dyDescent="0.25">
      <c r="A45" t="s">
        <v>2267</v>
      </c>
    </row>
    <row r="46" spans="1:1" x14ac:dyDescent="0.25">
      <c r="A46" t="s">
        <v>2268</v>
      </c>
    </row>
    <row r="47" spans="1:1" x14ac:dyDescent="0.25">
      <c r="A47" t="s">
        <v>2269</v>
      </c>
    </row>
    <row r="48" spans="1:1" x14ac:dyDescent="0.25">
      <c r="A48" t="s">
        <v>2270</v>
      </c>
    </row>
    <row r="49" spans="1:1" x14ac:dyDescent="0.25">
      <c r="A49" t="s">
        <v>2271</v>
      </c>
    </row>
    <row r="50" spans="1:1" x14ac:dyDescent="0.25">
      <c r="A50" t="s">
        <v>2272</v>
      </c>
    </row>
    <row r="51" spans="1:1" x14ac:dyDescent="0.25">
      <c r="A51" t="s">
        <v>2273</v>
      </c>
    </row>
    <row r="52" spans="1:1" x14ac:dyDescent="0.25">
      <c r="A52" t="s">
        <v>2274</v>
      </c>
    </row>
    <row r="53" spans="1:1" x14ac:dyDescent="0.25">
      <c r="A53" t="s">
        <v>2275</v>
      </c>
    </row>
    <row r="54" spans="1:1" x14ac:dyDescent="0.25">
      <c r="A54" t="s">
        <v>2276</v>
      </c>
    </row>
    <row r="55" spans="1:1" x14ac:dyDescent="0.25">
      <c r="A55" t="s">
        <v>2277</v>
      </c>
    </row>
    <row r="56" spans="1:1" x14ac:dyDescent="0.25">
      <c r="A56" t="s">
        <v>2278</v>
      </c>
    </row>
  </sheetData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23"/>
  <sheetViews>
    <sheetView workbookViewId="0">
      <selection activeCell="E20" sqref="E20"/>
    </sheetView>
  </sheetViews>
  <sheetFormatPr defaultRowHeight="15" x14ac:dyDescent="0.25"/>
  <sheetData>
    <row r="1" spans="1:9" x14ac:dyDescent="0.25">
      <c r="A1" t="s">
        <v>2166</v>
      </c>
      <c r="B1">
        <v>0</v>
      </c>
      <c r="G1" t="s">
        <v>2167</v>
      </c>
      <c r="H1">
        <v>0</v>
      </c>
      <c r="I1" t="s">
        <v>2168</v>
      </c>
    </row>
    <row r="2" spans="1:9" x14ac:dyDescent="0.25">
      <c r="A2" t="s">
        <v>2166</v>
      </c>
      <c r="B2">
        <v>1</v>
      </c>
      <c r="C2" t="s">
        <v>2169</v>
      </c>
      <c r="D2">
        <v>0</v>
      </c>
      <c r="G2" t="s">
        <v>2167</v>
      </c>
      <c r="H2">
        <v>1</v>
      </c>
      <c r="I2" t="s">
        <v>2168</v>
      </c>
    </row>
    <row r="3" spans="1:9" x14ac:dyDescent="0.25">
      <c r="A3" t="s">
        <v>2166</v>
      </c>
      <c r="B3">
        <v>1</v>
      </c>
      <c r="C3" t="s">
        <v>2169</v>
      </c>
      <c r="D3">
        <v>1</v>
      </c>
      <c r="E3" t="s">
        <v>2170</v>
      </c>
      <c r="F3">
        <v>0</v>
      </c>
      <c r="G3" t="s">
        <v>2167</v>
      </c>
      <c r="H3">
        <v>2</v>
      </c>
      <c r="I3" t="s">
        <v>2168</v>
      </c>
    </row>
    <row r="4" spans="1:9" x14ac:dyDescent="0.25">
      <c r="A4" t="s">
        <v>2166</v>
      </c>
      <c r="B4">
        <v>1</v>
      </c>
      <c r="C4" t="s">
        <v>2169</v>
      </c>
      <c r="D4">
        <v>1</v>
      </c>
      <c r="E4" t="s">
        <v>2170</v>
      </c>
      <c r="F4">
        <v>1</v>
      </c>
      <c r="G4" t="s">
        <v>2167</v>
      </c>
      <c r="H4">
        <v>3</v>
      </c>
      <c r="I4" t="s">
        <v>2168</v>
      </c>
    </row>
    <row r="5" spans="1:9" x14ac:dyDescent="0.25">
      <c r="A5" t="s">
        <v>2166</v>
      </c>
      <c r="B5">
        <v>1</v>
      </c>
      <c r="C5" t="s">
        <v>2169</v>
      </c>
      <c r="D5">
        <v>2</v>
      </c>
      <c r="E5" t="s">
        <v>2170</v>
      </c>
      <c r="F5">
        <v>0</v>
      </c>
      <c r="G5" t="s">
        <v>2167</v>
      </c>
      <c r="H5">
        <v>4</v>
      </c>
      <c r="I5" t="s">
        <v>2168</v>
      </c>
    </row>
    <row r="6" spans="1:9" x14ac:dyDescent="0.25">
      <c r="A6" t="s">
        <v>2166</v>
      </c>
      <c r="B6">
        <v>1</v>
      </c>
      <c r="C6" t="s">
        <v>2169</v>
      </c>
      <c r="D6">
        <v>2</v>
      </c>
      <c r="E6" t="s">
        <v>2170</v>
      </c>
      <c r="F6">
        <v>1</v>
      </c>
      <c r="G6" t="s">
        <v>2167</v>
      </c>
      <c r="H6">
        <v>5</v>
      </c>
      <c r="I6" t="s">
        <v>2168</v>
      </c>
    </row>
    <row r="7" spans="1:9" x14ac:dyDescent="0.25">
      <c r="A7" t="s">
        <v>2166</v>
      </c>
      <c r="B7">
        <v>1</v>
      </c>
      <c r="C7" t="s">
        <v>2169</v>
      </c>
      <c r="D7">
        <v>3</v>
      </c>
      <c r="E7" t="s">
        <v>2170</v>
      </c>
      <c r="F7">
        <v>0</v>
      </c>
      <c r="G7" t="s">
        <v>2167</v>
      </c>
      <c r="H7">
        <v>6</v>
      </c>
      <c r="I7" t="s">
        <v>2168</v>
      </c>
    </row>
    <row r="8" spans="1:9" x14ac:dyDescent="0.25">
      <c r="A8" t="s">
        <v>2166</v>
      </c>
      <c r="B8">
        <v>1</v>
      </c>
      <c r="C8" t="s">
        <v>2169</v>
      </c>
      <c r="D8">
        <v>3</v>
      </c>
      <c r="E8" t="s">
        <v>2170</v>
      </c>
      <c r="F8">
        <v>1</v>
      </c>
      <c r="G8" t="s">
        <v>2167</v>
      </c>
      <c r="H8">
        <v>7</v>
      </c>
      <c r="I8" t="s">
        <v>2168</v>
      </c>
    </row>
    <row r="9" spans="1:9" x14ac:dyDescent="0.25">
      <c r="A9" t="s">
        <v>2166</v>
      </c>
      <c r="B9">
        <v>2</v>
      </c>
      <c r="C9" t="s">
        <v>2169</v>
      </c>
      <c r="D9">
        <v>0</v>
      </c>
      <c r="G9" t="s">
        <v>2167</v>
      </c>
      <c r="H9">
        <v>8</v>
      </c>
      <c r="I9" t="s">
        <v>2168</v>
      </c>
    </row>
    <row r="10" spans="1:9" x14ac:dyDescent="0.25">
      <c r="A10" t="s">
        <v>2166</v>
      </c>
      <c r="B10">
        <v>2</v>
      </c>
      <c r="C10" t="s">
        <v>2169</v>
      </c>
      <c r="D10">
        <v>1</v>
      </c>
      <c r="E10" t="s">
        <v>2170</v>
      </c>
      <c r="F10">
        <v>0</v>
      </c>
      <c r="G10" t="s">
        <v>2167</v>
      </c>
      <c r="H10">
        <v>9</v>
      </c>
      <c r="I10" t="s">
        <v>2168</v>
      </c>
    </row>
    <row r="11" spans="1:9" x14ac:dyDescent="0.25">
      <c r="A11" t="s">
        <v>2166</v>
      </c>
      <c r="B11">
        <v>2</v>
      </c>
      <c r="C11" t="s">
        <v>2169</v>
      </c>
      <c r="D11">
        <v>1</v>
      </c>
      <c r="E11" t="s">
        <v>2170</v>
      </c>
      <c r="F11">
        <v>1</v>
      </c>
      <c r="G11" t="s">
        <v>2167</v>
      </c>
      <c r="H11">
        <v>10</v>
      </c>
      <c r="I11" t="s">
        <v>2168</v>
      </c>
    </row>
    <row r="12" spans="1:9" x14ac:dyDescent="0.25">
      <c r="A12" t="s">
        <v>2166</v>
      </c>
      <c r="B12">
        <v>2</v>
      </c>
      <c r="C12" t="s">
        <v>2169</v>
      </c>
      <c r="D12">
        <v>2</v>
      </c>
      <c r="E12" t="s">
        <v>2170</v>
      </c>
      <c r="F12">
        <v>0</v>
      </c>
      <c r="G12" t="s">
        <v>2167</v>
      </c>
      <c r="H12">
        <v>11</v>
      </c>
      <c r="I12" t="s">
        <v>2168</v>
      </c>
    </row>
    <row r="13" spans="1:9" x14ac:dyDescent="0.25">
      <c r="A13" t="s">
        <v>2166</v>
      </c>
      <c r="B13">
        <v>2</v>
      </c>
      <c r="C13" t="s">
        <v>2169</v>
      </c>
      <c r="D13">
        <v>2</v>
      </c>
      <c r="E13" t="s">
        <v>2170</v>
      </c>
      <c r="F13">
        <v>1</v>
      </c>
      <c r="G13" t="s">
        <v>2167</v>
      </c>
      <c r="H13">
        <v>12</v>
      </c>
      <c r="I13" t="s">
        <v>2168</v>
      </c>
    </row>
    <row r="14" spans="1:9" x14ac:dyDescent="0.25">
      <c r="A14" t="s">
        <v>2166</v>
      </c>
      <c r="B14">
        <v>2</v>
      </c>
      <c r="C14" t="s">
        <v>2169</v>
      </c>
      <c r="D14">
        <v>3</v>
      </c>
      <c r="E14" t="s">
        <v>2170</v>
      </c>
      <c r="F14">
        <v>0</v>
      </c>
      <c r="G14" t="s">
        <v>2167</v>
      </c>
      <c r="H14">
        <v>13</v>
      </c>
      <c r="I14" t="s">
        <v>2168</v>
      </c>
    </row>
    <row r="15" spans="1:9" x14ac:dyDescent="0.25">
      <c r="A15" t="s">
        <v>2166</v>
      </c>
      <c r="B15">
        <v>2</v>
      </c>
      <c r="C15" t="s">
        <v>2169</v>
      </c>
      <c r="D15">
        <v>3</v>
      </c>
      <c r="E15" t="s">
        <v>2170</v>
      </c>
      <c r="F15">
        <v>1</v>
      </c>
      <c r="G15" t="s">
        <v>2167</v>
      </c>
      <c r="H15">
        <v>14</v>
      </c>
      <c r="I15" t="s">
        <v>2168</v>
      </c>
    </row>
    <row r="16" spans="1:9" x14ac:dyDescent="0.25">
      <c r="A16" t="s">
        <v>2166</v>
      </c>
      <c r="B16">
        <v>3</v>
      </c>
      <c r="C16" t="s">
        <v>2169</v>
      </c>
      <c r="D16">
        <v>0</v>
      </c>
      <c r="G16" t="s">
        <v>2167</v>
      </c>
      <c r="H16">
        <v>15</v>
      </c>
      <c r="I16" t="s">
        <v>2168</v>
      </c>
    </row>
    <row r="17" spans="1:9" x14ac:dyDescent="0.25">
      <c r="A17" t="s">
        <v>2166</v>
      </c>
      <c r="B17">
        <v>3</v>
      </c>
      <c r="C17" t="s">
        <v>2169</v>
      </c>
      <c r="D17">
        <v>1</v>
      </c>
      <c r="E17" t="s">
        <v>2170</v>
      </c>
      <c r="F17">
        <v>0</v>
      </c>
      <c r="G17" t="s">
        <v>2167</v>
      </c>
      <c r="H17">
        <v>16</v>
      </c>
      <c r="I17" t="s">
        <v>2168</v>
      </c>
    </row>
    <row r="18" spans="1:9" x14ac:dyDescent="0.25">
      <c r="A18" t="s">
        <v>2166</v>
      </c>
      <c r="B18">
        <v>3</v>
      </c>
      <c r="C18" t="s">
        <v>2169</v>
      </c>
      <c r="D18">
        <v>1</v>
      </c>
      <c r="E18" t="s">
        <v>2170</v>
      </c>
      <c r="F18">
        <v>1</v>
      </c>
      <c r="G18" t="s">
        <v>2167</v>
      </c>
      <c r="H18">
        <v>17</v>
      </c>
      <c r="I18" t="s">
        <v>2168</v>
      </c>
    </row>
    <row r="19" spans="1:9" x14ac:dyDescent="0.25">
      <c r="A19" t="s">
        <v>2166</v>
      </c>
      <c r="B19">
        <v>3</v>
      </c>
      <c r="C19" t="s">
        <v>2169</v>
      </c>
      <c r="D19">
        <v>2</v>
      </c>
      <c r="E19" t="s">
        <v>2170</v>
      </c>
      <c r="F19">
        <v>0</v>
      </c>
      <c r="G19" t="s">
        <v>2167</v>
      </c>
      <c r="H19">
        <v>18</v>
      </c>
      <c r="I19" t="s">
        <v>2168</v>
      </c>
    </row>
    <row r="20" spans="1:9" x14ac:dyDescent="0.25">
      <c r="A20" t="s">
        <v>2166</v>
      </c>
      <c r="B20">
        <v>3</v>
      </c>
      <c r="C20" t="s">
        <v>2169</v>
      </c>
      <c r="D20">
        <v>2</v>
      </c>
      <c r="E20" t="s">
        <v>2170</v>
      </c>
      <c r="F20">
        <v>1</v>
      </c>
      <c r="G20" t="s">
        <v>2167</v>
      </c>
      <c r="H20">
        <v>19</v>
      </c>
      <c r="I20" t="s">
        <v>2168</v>
      </c>
    </row>
    <row r="21" spans="1:9" x14ac:dyDescent="0.25">
      <c r="A21" t="s">
        <v>2166</v>
      </c>
      <c r="B21">
        <v>3</v>
      </c>
      <c r="C21" t="s">
        <v>2169</v>
      </c>
      <c r="D21">
        <v>3</v>
      </c>
      <c r="E21" t="s">
        <v>2170</v>
      </c>
      <c r="F21">
        <v>0</v>
      </c>
      <c r="G21" t="s">
        <v>2167</v>
      </c>
      <c r="H21">
        <v>20</v>
      </c>
      <c r="I21" t="s">
        <v>2168</v>
      </c>
    </row>
    <row r="22" spans="1:9" x14ac:dyDescent="0.25">
      <c r="A22" t="s">
        <v>2166</v>
      </c>
      <c r="B22">
        <v>3</v>
      </c>
      <c r="C22" t="s">
        <v>2169</v>
      </c>
      <c r="D22">
        <v>3</v>
      </c>
      <c r="E22" t="s">
        <v>2170</v>
      </c>
      <c r="F22">
        <v>1</v>
      </c>
      <c r="G22" t="s">
        <v>2167</v>
      </c>
      <c r="H22">
        <v>21</v>
      </c>
      <c r="I22" t="s">
        <v>2168</v>
      </c>
    </row>
    <row r="23" spans="1:9" x14ac:dyDescent="0.25">
      <c r="A23" s="18" t="s">
        <v>2155</v>
      </c>
    </row>
  </sheetData>
  <sheetProtection password="D95F"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E8:K127"/>
  <sheetViews>
    <sheetView topLeftCell="A106" workbookViewId="0">
      <selection activeCell="I8" sqref="I8:I127"/>
    </sheetView>
  </sheetViews>
  <sheetFormatPr defaultRowHeight="15" x14ac:dyDescent="0.25"/>
  <cols>
    <col min="5" max="5" width="40.5703125" customWidth="1"/>
    <col min="6" max="6" width="10.5703125" customWidth="1"/>
  </cols>
  <sheetData>
    <row r="8" spans="5:11" x14ac:dyDescent="0.25">
      <c r="E8" t="s">
        <v>2280</v>
      </c>
      <c r="F8" t="s">
        <v>2400</v>
      </c>
      <c r="G8">
        <v>1</v>
      </c>
      <c r="H8" t="str">
        <f>MID(E8,20,1)</f>
        <v>1</v>
      </c>
      <c r="I8" t="str">
        <f>F8&amp;"_"&amp;G8&amp;"_"&amp;H8</f>
        <v>Q13_1_1</v>
      </c>
      <c r="J8">
        <v>1</v>
      </c>
      <c r="K8" t="str">
        <f>F8&amp;"_"&amp;J8</f>
        <v>Q13_1</v>
      </c>
    </row>
    <row r="9" spans="5:11" x14ac:dyDescent="0.25">
      <c r="E9" t="s">
        <v>2281</v>
      </c>
      <c r="F9" t="s">
        <v>2400</v>
      </c>
      <c r="G9">
        <v>2</v>
      </c>
      <c r="H9" t="str">
        <f t="shared" ref="H9:H34" si="0">MID(E9,20,1)</f>
        <v>1</v>
      </c>
      <c r="I9" t="str">
        <f t="shared" ref="I9:I72" si="1">F9&amp;"_"&amp;G9&amp;"_"&amp;H9</f>
        <v>Q13_2_1</v>
      </c>
      <c r="J9">
        <v>2</v>
      </c>
      <c r="K9" t="str">
        <f t="shared" ref="K9:K72" si="2">F9&amp;"_"&amp;J9</f>
        <v>Q13_2</v>
      </c>
    </row>
    <row r="10" spans="5:11" x14ac:dyDescent="0.25">
      <c r="E10" t="s">
        <v>2282</v>
      </c>
      <c r="F10" t="s">
        <v>2400</v>
      </c>
      <c r="G10">
        <v>3</v>
      </c>
      <c r="H10" t="str">
        <f t="shared" si="0"/>
        <v>1</v>
      </c>
      <c r="I10" t="str">
        <f t="shared" si="1"/>
        <v>Q13_3_1</v>
      </c>
      <c r="J10">
        <v>3</v>
      </c>
      <c r="K10" t="str">
        <f t="shared" si="2"/>
        <v>Q13_3</v>
      </c>
    </row>
    <row r="11" spans="5:11" x14ac:dyDescent="0.25">
      <c r="E11" t="s">
        <v>2283</v>
      </c>
      <c r="F11" t="s">
        <v>2400</v>
      </c>
      <c r="G11">
        <v>1</v>
      </c>
      <c r="H11" t="str">
        <f t="shared" si="0"/>
        <v>2</v>
      </c>
      <c r="I11" t="str">
        <f t="shared" si="1"/>
        <v>Q13_1_2</v>
      </c>
      <c r="J11">
        <v>4</v>
      </c>
      <c r="K11" t="str">
        <f t="shared" si="2"/>
        <v>Q13_4</v>
      </c>
    </row>
    <row r="12" spans="5:11" x14ac:dyDescent="0.25">
      <c r="E12" t="s">
        <v>2284</v>
      </c>
      <c r="F12" t="s">
        <v>2400</v>
      </c>
      <c r="G12">
        <v>2</v>
      </c>
      <c r="H12" t="str">
        <f t="shared" si="0"/>
        <v>2</v>
      </c>
      <c r="I12" t="str">
        <f t="shared" si="1"/>
        <v>Q13_2_2</v>
      </c>
      <c r="J12">
        <v>5</v>
      </c>
      <c r="K12" t="str">
        <f t="shared" si="2"/>
        <v>Q13_5</v>
      </c>
    </row>
    <row r="13" spans="5:11" x14ac:dyDescent="0.25">
      <c r="E13" t="s">
        <v>2285</v>
      </c>
      <c r="F13" t="s">
        <v>2400</v>
      </c>
      <c r="G13">
        <v>3</v>
      </c>
      <c r="H13" t="str">
        <f t="shared" si="0"/>
        <v>2</v>
      </c>
      <c r="I13" t="str">
        <f t="shared" si="1"/>
        <v>Q13_3_2</v>
      </c>
      <c r="J13">
        <v>6</v>
      </c>
      <c r="K13" t="str">
        <f t="shared" si="2"/>
        <v>Q13_6</v>
      </c>
    </row>
    <row r="14" spans="5:11" x14ac:dyDescent="0.25">
      <c r="E14" t="s">
        <v>2286</v>
      </c>
      <c r="F14" t="s">
        <v>2400</v>
      </c>
      <c r="G14">
        <v>1</v>
      </c>
      <c r="H14" t="str">
        <f t="shared" si="0"/>
        <v>3</v>
      </c>
      <c r="I14" t="str">
        <f t="shared" si="1"/>
        <v>Q13_1_3</v>
      </c>
      <c r="J14">
        <v>7</v>
      </c>
      <c r="K14" t="str">
        <f t="shared" si="2"/>
        <v>Q13_7</v>
      </c>
    </row>
    <row r="15" spans="5:11" x14ac:dyDescent="0.25">
      <c r="E15" t="s">
        <v>2287</v>
      </c>
      <c r="F15" t="s">
        <v>2400</v>
      </c>
      <c r="G15">
        <v>2</v>
      </c>
      <c r="H15" t="str">
        <f t="shared" si="0"/>
        <v>3</v>
      </c>
      <c r="I15" t="str">
        <f t="shared" si="1"/>
        <v>Q13_2_3</v>
      </c>
      <c r="J15">
        <v>8</v>
      </c>
      <c r="K15" t="str">
        <f t="shared" si="2"/>
        <v>Q13_8</v>
      </c>
    </row>
    <row r="16" spans="5:11" x14ac:dyDescent="0.25">
      <c r="E16" t="s">
        <v>2288</v>
      </c>
      <c r="F16" t="s">
        <v>2400</v>
      </c>
      <c r="G16">
        <v>3</v>
      </c>
      <c r="H16" t="str">
        <f t="shared" si="0"/>
        <v>3</v>
      </c>
      <c r="I16" t="str">
        <f t="shared" si="1"/>
        <v>Q13_3_3</v>
      </c>
      <c r="J16">
        <v>9</v>
      </c>
      <c r="K16" t="str">
        <f t="shared" si="2"/>
        <v>Q13_9</v>
      </c>
    </row>
    <row r="17" spans="5:11" x14ac:dyDescent="0.25">
      <c r="E17" t="s">
        <v>2289</v>
      </c>
      <c r="F17" t="s">
        <v>2400</v>
      </c>
      <c r="G17">
        <v>1</v>
      </c>
      <c r="H17" t="str">
        <f t="shared" si="0"/>
        <v>4</v>
      </c>
      <c r="I17" t="str">
        <f t="shared" si="1"/>
        <v>Q13_1_4</v>
      </c>
      <c r="J17">
        <v>10</v>
      </c>
      <c r="K17" t="str">
        <f t="shared" si="2"/>
        <v>Q13_10</v>
      </c>
    </row>
    <row r="18" spans="5:11" x14ac:dyDescent="0.25">
      <c r="E18" t="s">
        <v>2290</v>
      </c>
      <c r="F18" t="s">
        <v>2400</v>
      </c>
      <c r="G18">
        <v>2</v>
      </c>
      <c r="H18" t="str">
        <f t="shared" si="0"/>
        <v>4</v>
      </c>
      <c r="I18" t="str">
        <f t="shared" si="1"/>
        <v>Q13_2_4</v>
      </c>
      <c r="J18">
        <v>11</v>
      </c>
      <c r="K18" t="str">
        <f t="shared" si="2"/>
        <v>Q13_11</v>
      </c>
    </row>
    <row r="19" spans="5:11" x14ac:dyDescent="0.25">
      <c r="E19" t="s">
        <v>2291</v>
      </c>
      <c r="F19" t="s">
        <v>2400</v>
      </c>
      <c r="G19">
        <v>3</v>
      </c>
      <c r="H19" t="str">
        <f t="shared" si="0"/>
        <v>4</v>
      </c>
      <c r="I19" t="str">
        <f t="shared" si="1"/>
        <v>Q13_3_4</v>
      </c>
      <c r="J19">
        <v>12</v>
      </c>
      <c r="K19" t="str">
        <f t="shared" si="2"/>
        <v>Q13_12</v>
      </c>
    </row>
    <row r="20" spans="5:11" x14ac:dyDescent="0.25">
      <c r="E20" t="s">
        <v>2292</v>
      </c>
      <c r="F20" t="s">
        <v>2400</v>
      </c>
      <c r="G20">
        <v>1</v>
      </c>
      <c r="H20" t="str">
        <f t="shared" si="0"/>
        <v>5</v>
      </c>
      <c r="I20" t="str">
        <f t="shared" si="1"/>
        <v>Q13_1_5</v>
      </c>
      <c r="J20">
        <v>13</v>
      </c>
      <c r="K20" t="str">
        <f t="shared" si="2"/>
        <v>Q13_13</v>
      </c>
    </row>
    <row r="21" spans="5:11" x14ac:dyDescent="0.25">
      <c r="E21" t="s">
        <v>2293</v>
      </c>
      <c r="F21" t="s">
        <v>2400</v>
      </c>
      <c r="G21">
        <v>2</v>
      </c>
      <c r="H21" t="str">
        <f t="shared" si="0"/>
        <v>5</v>
      </c>
      <c r="I21" t="str">
        <f t="shared" si="1"/>
        <v>Q13_2_5</v>
      </c>
      <c r="J21">
        <v>14</v>
      </c>
      <c r="K21" t="str">
        <f t="shared" si="2"/>
        <v>Q13_14</v>
      </c>
    </row>
    <row r="22" spans="5:11" x14ac:dyDescent="0.25">
      <c r="E22" t="s">
        <v>2294</v>
      </c>
      <c r="F22" t="s">
        <v>2400</v>
      </c>
      <c r="G22">
        <v>3</v>
      </c>
      <c r="H22" t="str">
        <f t="shared" si="0"/>
        <v>5</v>
      </c>
      <c r="I22" t="str">
        <f t="shared" si="1"/>
        <v>Q13_3_5</v>
      </c>
      <c r="J22">
        <v>15</v>
      </c>
      <c r="K22" t="str">
        <f t="shared" si="2"/>
        <v>Q13_15</v>
      </c>
    </row>
    <row r="23" spans="5:11" x14ac:dyDescent="0.25">
      <c r="E23" t="s">
        <v>2295</v>
      </c>
      <c r="F23" t="s">
        <v>2400</v>
      </c>
      <c r="G23">
        <v>1</v>
      </c>
      <c r="H23" t="str">
        <f t="shared" si="0"/>
        <v>6</v>
      </c>
      <c r="I23" t="str">
        <f t="shared" si="1"/>
        <v>Q13_1_6</v>
      </c>
      <c r="J23">
        <v>16</v>
      </c>
      <c r="K23" t="str">
        <f t="shared" si="2"/>
        <v>Q13_16</v>
      </c>
    </row>
    <row r="24" spans="5:11" x14ac:dyDescent="0.25">
      <c r="E24" t="s">
        <v>2296</v>
      </c>
      <c r="F24" t="s">
        <v>2400</v>
      </c>
      <c r="G24">
        <v>2</v>
      </c>
      <c r="H24" t="str">
        <f t="shared" si="0"/>
        <v>6</v>
      </c>
      <c r="I24" t="str">
        <f t="shared" si="1"/>
        <v>Q13_2_6</v>
      </c>
      <c r="J24">
        <v>17</v>
      </c>
      <c r="K24" t="str">
        <f t="shared" si="2"/>
        <v>Q13_17</v>
      </c>
    </row>
    <row r="25" spans="5:11" x14ac:dyDescent="0.25">
      <c r="E25" t="s">
        <v>2297</v>
      </c>
      <c r="F25" t="s">
        <v>2400</v>
      </c>
      <c r="G25">
        <v>3</v>
      </c>
      <c r="H25" t="str">
        <f t="shared" si="0"/>
        <v>6</v>
      </c>
      <c r="I25" t="str">
        <f t="shared" si="1"/>
        <v>Q13_3_6</v>
      </c>
      <c r="J25">
        <v>18</v>
      </c>
      <c r="K25" t="str">
        <f t="shared" si="2"/>
        <v>Q13_18</v>
      </c>
    </row>
    <row r="26" spans="5:11" x14ac:dyDescent="0.25">
      <c r="E26" t="s">
        <v>2298</v>
      </c>
      <c r="F26" t="s">
        <v>2400</v>
      </c>
      <c r="G26">
        <v>1</v>
      </c>
      <c r="H26" t="str">
        <f t="shared" si="0"/>
        <v>7</v>
      </c>
      <c r="I26" t="str">
        <f t="shared" si="1"/>
        <v>Q13_1_7</v>
      </c>
      <c r="J26">
        <v>19</v>
      </c>
      <c r="K26" t="str">
        <f t="shared" si="2"/>
        <v>Q13_19</v>
      </c>
    </row>
    <row r="27" spans="5:11" x14ac:dyDescent="0.25">
      <c r="E27" t="s">
        <v>2299</v>
      </c>
      <c r="F27" t="s">
        <v>2400</v>
      </c>
      <c r="G27">
        <v>2</v>
      </c>
      <c r="H27" t="str">
        <f t="shared" si="0"/>
        <v>7</v>
      </c>
      <c r="I27" t="str">
        <f t="shared" si="1"/>
        <v>Q13_2_7</v>
      </c>
      <c r="J27">
        <v>20</v>
      </c>
      <c r="K27" t="str">
        <f t="shared" si="2"/>
        <v>Q13_20</v>
      </c>
    </row>
    <row r="28" spans="5:11" x14ac:dyDescent="0.25">
      <c r="E28" t="s">
        <v>2300</v>
      </c>
      <c r="F28" t="s">
        <v>2400</v>
      </c>
      <c r="G28">
        <v>3</v>
      </c>
      <c r="H28" t="str">
        <f t="shared" si="0"/>
        <v>7</v>
      </c>
      <c r="I28" t="str">
        <f t="shared" si="1"/>
        <v>Q13_3_7</v>
      </c>
      <c r="J28">
        <v>21</v>
      </c>
      <c r="K28" t="str">
        <f t="shared" si="2"/>
        <v>Q13_21</v>
      </c>
    </row>
    <row r="29" spans="5:11" x14ac:dyDescent="0.25">
      <c r="E29" t="s">
        <v>2301</v>
      </c>
      <c r="F29" t="s">
        <v>2400</v>
      </c>
      <c r="G29">
        <v>1</v>
      </c>
      <c r="H29" t="str">
        <f t="shared" si="0"/>
        <v>8</v>
      </c>
      <c r="I29" t="str">
        <f t="shared" si="1"/>
        <v>Q13_1_8</v>
      </c>
      <c r="J29">
        <v>22</v>
      </c>
      <c r="K29" t="str">
        <f t="shared" si="2"/>
        <v>Q13_22</v>
      </c>
    </row>
    <row r="30" spans="5:11" x14ac:dyDescent="0.25">
      <c r="E30" t="s">
        <v>2302</v>
      </c>
      <c r="F30" t="s">
        <v>2400</v>
      </c>
      <c r="G30">
        <v>2</v>
      </c>
      <c r="H30" t="str">
        <f t="shared" si="0"/>
        <v>8</v>
      </c>
      <c r="I30" t="str">
        <f t="shared" si="1"/>
        <v>Q13_2_8</v>
      </c>
      <c r="J30">
        <v>23</v>
      </c>
      <c r="K30" t="str">
        <f t="shared" si="2"/>
        <v>Q13_23</v>
      </c>
    </row>
    <row r="31" spans="5:11" x14ac:dyDescent="0.25">
      <c r="E31" t="s">
        <v>2303</v>
      </c>
      <c r="F31" t="s">
        <v>2400</v>
      </c>
      <c r="G31">
        <v>3</v>
      </c>
      <c r="H31" t="str">
        <f t="shared" si="0"/>
        <v>8</v>
      </c>
      <c r="I31" t="str">
        <f t="shared" si="1"/>
        <v>Q13_3_8</v>
      </c>
      <c r="J31">
        <v>24</v>
      </c>
      <c r="K31" t="str">
        <f t="shared" si="2"/>
        <v>Q13_24</v>
      </c>
    </row>
    <row r="32" spans="5:11" x14ac:dyDescent="0.25">
      <c r="E32" t="s">
        <v>2304</v>
      </c>
      <c r="F32" t="s">
        <v>2400</v>
      </c>
      <c r="G32">
        <v>1</v>
      </c>
      <c r="H32" t="str">
        <f t="shared" si="0"/>
        <v>9</v>
      </c>
      <c r="I32" t="str">
        <f t="shared" si="1"/>
        <v>Q13_1_9</v>
      </c>
      <c r="J32">
        <v>25</v>
      </c>
      <c r="K32" t="str">
        <f t="shared" si="2"/>
        <v>Q13_25</v>
      </c>
    </row>
    <row r="33" spans="5:11" x14ac:dyDescent="0.25">
      <c r="E33" t="s">
        <v>2305</v>
      </c>
      <c r="F33" t="s">
        <v>2400</v>
      </c>
      <c r="G33">
        <v>2</v>
      </c>
      <c r="H33" t="str">
        <f t="shared" si="0"/>
        <v>9</v>
      </c>
      <c r="I33" t="str">
        <f t="shared" si="1"/>
        <v>Q13_2_9</v>
      </c>
      <c r="J33">
        <v>26</v>
      </c>
      <c r="K33" t="str">
        <f t="shared" si="2"/>
        <v>Q13_26</v>
      </c>
    </row>
    <row r="34" spans="5:11" x14ac:dyDescent="0.25">
      <c r="E34" t="s">
        <v>2306</v>
      </c>
      <c r="F34" t="s">
        <v>2400</v>
      </c>
      <c r="G34">
        <v>3</v>
      </c>
      <c r="H34" t="str">
        <f t="shared" si="0"/>
        <v>9</v>
      </c>
      <c r="I34" t="str">
        <f t="shared" si="1"/>
        <v>Q13_3_9</v>
      </c>
      <c r="J34">
        <v>27</v>
      </c>
      <c r="K34" t="str">
        <f t="shared" si="2"/>
        <v>Q13_27</v>
      </c>
    </row>
    <row r="35" spans="5:11" x14ac:dyDescent="0.25">
      <c r="E35" t="s">
        <v>2307</v>
      </c>
      <c r="F35" t="s">
        <v>2400</v>
      </c>
      <c r="G35">
        <v>1</v>
      </c>
      <c r="H35" t="str">
        <f>MID(E35,19,2)</f>
        <v>10</v>
      </c>
      <c r="I35" t="str">
        <f t="shared" si="1"/>
        <v>Q13_1_10</v>
      </c>
      <c r="J35">
        <v>28</v>
      </c>
      <c r="K35" t="str">
        <f t="shared" si="2"/>
        <v>Q13_28</v>
      </c>
    </row>
    <row r="36" spans="5:11" x14ac:dyDescent="0.25">
      <c r="E36" t="s">
        <v>2308</v>
      </c>
      <c r="F36" t="s">
        <v>2400</v>
      </c>
      <c r="G36">
        <v>2</v>
      </c>
      <c r="H36" t="str">
        <f t="shared" ref="H36:H43" si="3">MID(E36,19,2)</f>
        <v>10</v>
      </c>
      <c r="I36" t="str">
        <f t="shared" si="1"/>
        <v>Q13_2_10</v>
      </c>
      <c r="J36">
        <v>29</v>
      </c>
      <c r="K36" t="str">
        <f t="shared" si="2"/>
        <v>Q13_29</v>
      </c>
    </row>
    <row r="37" spans="5:11" x14ac:dyDescent="0.25">
      <c r="E37" t="s">
        <v>2309</v>
      </c>
      <c r="F37" t="s">
        <v>2400</v>
      </c>
      <c r="G37">
        <v>3</v>
      </c>
      <c r="H37" t="str">
        <f t="shared" si="3"/>
        <v>10</v>
      </c>
      <c r="I37" t="str">
        <f t="shared" si="1"/>
        <v>Q13_3_10</v>
      </c>
      <c r="J37">
        <v>30</v>
      </c>
      <c r="K37" t="str">
        <f t="shared" si="2"/>
        <v>Q13_30</v>
      </c>
    </row>
    <row r="38" spans="5:11" x14ac:dyDescent="0.25">
      <c r="E38" t="s">
        <v>2310</v>
      </c>
      <c r="F38" t="s">
        <v>2400</v>
      </c>
      <c r="G38">
        <v>1</v>
      </c>
      <c r="H38" t="str">
        <f t="shared" si="3"/>
        <v>11</v>
      </c>
      <c r="I38" t="str">
        <f t="shared" si="1"/>
        <v>Q13_1_11</v>
      </c>
      <c r="J38">
        <v>31</v>
      </c>
      <c r="K38" t="str">
        <f t="shared" si="2"/>
        <v>Q13_31</v>
      </c>
    </row>
    <row r="39" spans="5:11" x14ac:dyDescent="0.25">
      <c r="E39" t="s">
        <v>2311</v>
      </c>
      <c r="F39" t="s">
        <v>2400</v>
      </c>
      <c r="G39">
        <v>2</v>
      </c>
      <c r="H39" t="str">
        <f t="shared" si="3"/>
        <v>11</v>
      </c>
      <c r="I39" t="str">
        <f t="shared" si="1"/>
        <v>Q13_2_11</v>
      </c>
      <c r="J39">
        <v>32</v>
      </c>
      <c r="K39" t="str">
        <f t="shared" si="2"/>
        <v>Q13_32</v>
      </c>
    </row>
    <row r="40" spans="5:11" x14ac:dyDescent="0.25">
      <c r="E40" t="s">
        <v>2312</v>
      </c>
      <c r="F40" t="s">
        <v>2400</v>
      </c>
      <c r="G40">
        <v>3</v>
      </c>
      <c r="H40" t="str">
        <f t="shared" si="3"/>
        <v>11</v>
      </c>
      <c r="I40" t="str">
        <f t="shared" si="1"/>
        <v>Q13_3_11</v>
      </c>
      <c r="J40">
        <v>33</v>
      </c>
      <c r="K40" t="str">
        <f t="shared" si="2"/>
        <v>Q13_33</v>
      </c>
    </row>
    <row r="41" spans="5:11" x14ac:dyDescent="0.25">
      <c r="E41" t="s">
        <v>2313</v>
      </c>
      <c r="F41" t="s">
        <v>2400</v>
      </c>
      <c r="G41">
        <v>1</v>
      </c>
      <c r="H41" t="str">
        <f t="shared" si="3"/>
        <v>12</v>
      </c>
      <c r="I41" t="str">
        <f t="shared" si="1"/>
        <v>Q13_1_12</v>
      </c>
      <c r="J41">
        <v>34</v>
      </c>
      <c r="K41" t="str">
        <f t="shared" si="2"/>
        <v>Q13_34</v>
      </c>
    </row>
    <row r="42" spans="5:11" x14ac:dyDescent="0.25">
      <c r="E42" t="s">
        <v>2314</v>
      </c>
      <c r="F42" t="s">
        <v>2400</v>
      </c>
      <c r="G42">
        <v>2</v>
      </c>
      <c r="H42" t="str">
        <f t="shared" si="3"/>
        <v>12</v>
      </c>
      <c r="I42" t="str">
        <f t="shared" si="1"/>
        <v>Q13_2_12</v>
      </c>
      <c r="J42">
        <v>35</v>
      </c>
      <c r="K42" t="str">
        <f t="shared" si="2"/>
        <v>Q13_35</v>
      </c>
    </row>
    <row r="43" spans="5:11" x14ac:dyDescent="0.25">
      <c r="E43" t="s">
        <v>2315</v>
      </c>
      <c r="F43" t="s">
        <v>2400</v>
      </c>
      <c r="G43">
        <v>3</v>
      </c>
      <c r="H43" t="str">
        <f t="shared" si="3"/>
        <v>12</v>
      </c>
      <c r="I43" t="str">
        <f t="shared" si="1"/>
        <v>Q13_3_12</v>
      </c>
      <c r="J43">
        <v>36</v>
      </c>
      <c r="K43" t="str">
        <f t="shared" si="2"/>
        <v>Q13_36</v>
      </c>
    </row>
    <row r="44" spans="5:11" x14ac:dyDescent="0.25">
      <c r="E44" t="s">
        <v>2316</v>
      </c>
      <c r="F44" t="s">
        <v>2401</v>
      </c>
      <c r="G44">
        <v>1</v>
      </c>
      <c r="H44" t="str">
        <f>MID(E44,31,1)</f>
        <v>1</v>
      </c>
      <c r="I44" t="str">
        <f t="shared" si="1"/>
        <v>Q14_1_1</v>
      </c>
      <c r="J44">
        <v>37</v>
      </c>
      <c r="K44" t="str">
        <f t="shared" si="2"/>
        <v>Q14_37</v>
      </c>
    </row>
    <row r="45" spans="5:11" x14ac:dyDescent="0.25">
      <c r="E45" t="s">
        <v>2317</v>
      </c>
      <c r="F45" t="s">
        <v>2401</v>
      </c>
      <c r="G45">
        <v>2</v>
      </c>
      <c r="H45" t="str">
        <f t="shared" ref="H45:H106" si="4">MID(E45,31,1)</f>
        <v>1</v>
      </c>
      <c r="I45" t="str">
        <f t="shared" si="1"/>
        <v>Q14_2_1</v>
      </c>
      <c r="J45">
        <v>38</v>
      </c>
      <c r="K45" t="str">
        <f t="shared" si="2"/>
        <v>Q14_38</v>
      </c>
    </row>
    <row r="46" spans="5:11" x14ac:dyDescent="0.25">
      <c r="E46" t="s">
        <v>2318</v>
      </c>
      <c r="F46" t="s">
        <v>2401</v>
      </c>
      <c r="G46">
        <v>3</v>
      </c>
      <c r="H46" t="str">
        <f t="shared" si="4"/>
        <v>1</v>
      </c>
      <c r="I46" t="str">
        <f t="shared" si="1"/>
        <v>Q14_3_1</v>
      </c>
      <c r="J46">
        <v>39</v>
      </c>
      <c r="K46" t="str">
        <f t="shared" si="2"/>
        <v>Q14_39</v>
      </c>
    </row>
    <row r="47" spans="5:11" x14ac:dyDescent="0.25">
      <c r="E47" t="s">
        <v>2319</v>
      </c>
      <c r="F47" t="s">
        <v>2401</v>
      </c>
      <c r="G47">
        <v>4</v>
      </c>
      <c r="H47" t="str">
        <f t="shared" si="4"/>
        <v>1</v>
      </c>
      <c r="I47" t="str">
        <f t="shared" si="1"/>
        <v>Q14_4_1</v>
      </c>
      <c r="J47">
        <v>40</v>
      </c>
      <c r="K47" t="str">
        <f t="shared" si="2"/>
        <v>Q14_40</v>
      </c>
    </row>
    <row r="48" spans="5:11" x14ac:dyDescent="0.25">
      <c r="E48" t="s">
        <v>2320</v>
      </c>
      <c r="F48" t="s">
        <v>2401</v>
      </c>
      <c r="G48">
        <v>5</v>
      </c>
      <c r="H48" t="str">
        <f t="shared" si="4"/>
        <v>1</v>
      </c>
      <c r="I48" t="str">
        <f t="shared" si="1"/>
        <v>Q14_5_1</v>
      </c>
      <c r="J48">
        <v>41</v>
      </c>
      <c r="K48" t="str">
        <f t="shared" si="2"/>
        <v>Q14_41</v>
      </c>
    </row>
    <row r="49" spans="5:11" x14ac:dyDescent="0.25">
      <c r="E49" t="s">
        <v>2321</v>
      </c>
      <c r="F49" t="s">
        <v>2401</v>
      </c>
      <c r="G49">
        <v>6</v>
      </c>
      <c r="H49" t="str">
        <f t="shared" si="4"/>
        <v>1</v>
      </c>
      <c r="I49" t="str">
        <f t="shared" si="1"/>
        <v>Q14_6_1</v>
      </c>
      <c r="J49">
        <v>42</v>
      </c>
      <c r="K49" t="str">
        <f t="shared" si="2"/>
        <v>Q14_42</v>
      </c>
    </row>
    <row r="50" spans="5:11" x14ac:dyDescent="0.25">
      <c r="E50" t="s">
        <v>2322</v>
      </c>
      <c r="F50" t="s">
        <v>2401</v>
      </c>
      <c r="G50">
        <v>7</v>
      </c>
      <c r="H50" t="str">
        <f t="shared" si="4"/>
        <v>1</v>
      </c>
      <c r="I50" t="str">
        <f t="shared" si="1"/>
        <v>Q14_7_1</v>
      </c>
      <c r="J50">
        <v>43</v>
      </c>
      <c r="K50" t="str">
        <f t="shared" si="2"/>
        <v>Q14_43</v>
      </c>
    </row>
    <row r="51" spans="5:11" x14ac:dyDescent="0.25">
      <c r="E51" t="s">
        <v>2323</v>
      </c>
      <c r="F51" t="s">
        <v>2401</v>
      </c>
      <c r="G51">
        <v>1</v>
      </c>
      <c r="H51" t="str">
        <f t="shared" si="4"/>
        <v>2</v>
      </c>
      <c r="I51" t="str">
        <f t="shared" si="1"/>
        <v>Q14_1_2</v>
      </c>
      <c r="J51">
        <v>44</v>
      </c>
      <c r="K51" t="str">
        <f t="shared" si="2"/>
        <v>Q14_44</v>
      </c>
    </row>
    <row r="52" spans="5:11" x14ac:dyDescent="0.25">
      <c r="E52" t="s">
        <v>2324</v>
      </c>
      <c r="F52" t="s">
        <v>2401</v>
      </c>
      <c r="G52">
        <v>2</v>
      </c>
      <c r="H52" t="str">
        <f t="shared" si="4"/>
        <v>2</v>
      </c>
      <c r="I52" t="str">
        <f t="shared" si="1"/>
        <v>Q14_2_2</v>
      </c>
      <c r="J52">
        <v>45</v>
      </c>
      <c r="K52" t="str">
        <f t="shared" si="2"/>
        <v>Q14_45</v>
      </c>
    </row>
    <row r="53" spans="5:11" x14ac:dyDescent="0.25">
      <c r="E53" t="s">
        <v>2325</v>
      </c>
      <c r="F53" t="s">
        <v>2401</v>
      </c>
      <c r="G53">
        <v>3</v>
      </c>
      <c r="H53" t="str">
        <f t="shared" si="4"/>
        <v>2</v>
      </c>
      <c r="I53" t="str">
        <f t="shared" si="1"/>
        <v>Q14_3_2</v>
      </c>
      <c r="J53">
        <v>46</v>
      </c>
      <c r="K53" t="str">
        <f t="shared" si="2"/>
        <v>Q14_46</v>
      </c>
    </row>
    <row r="54" spans="5:11" x14ac:dyDescent="0.25">
      <c r="E54" t="s">
        <v>2326</v>
      </c>
      <c r="F54" t="s">
        <v>2401</v>
      </c>
      <c r="G54">
        <v>4</v>
      </c>
      <c r="H54" t="str">
        <f t="shared" si="4"/>
        <v>2</v>
      </c>
      <c r="I54" t="str">
        <f t="shared" si="1"/>
        <v>Q14_4_2</v>
      </c>
      <c r="J54">
        <v>47</v>
      </c>
      <c r="K54" t="str">
        <f t="shared" si="2"/>
        <v>Q14_47</v>
      </c>
    </row>
    <row r="55" spans="5:11" x14ac:dyDescent="0.25">
      <c r="E55" t="s">
        <v>2327</v>
      </c>
      <c r="F55" t="s">
        <v>2401</v>
      </c>
      <c r="G55">
        <v>5</v>
      </c>
      <c r="H55" t="str">
        <f t="shared" si="4"/>
        <v>2</v>
      </c>
      <c r="I55" t="str">
        <f t="shared" si="1"/>
        <v>Q14_5_2</v>
      </c>
      <c r="J55">
        <v>48</v>
      </c>
      <c r="K55" t="str">
        <f t="shared" si="2"/>
        <v>Q14_48</v>
      </c>
    </row>
    <row r="56" spans="5:11" x14ac:dyDescent="0.25">
      <c r="E56" t="s">
        <v>2328</v>
      </c>
      <c r="F56" t="s">
        <v>2401</v>
      </c>
      <c r="G56">
        <v>6</v>
      </c>
      <c r="H56" t="str">
        <f t="shared" si="4"/>
        <v>2</v>
      </c>
      <c r="I56" t="str">
        <f t="shared" si="1"/>
        <v>Q14_6_2</v>
      </c>
      <c r="J56">
        <v>49</v>
      </c>
      <c r="K56" t="str">
        <f t="shared" si="2"/>
        <v>Q14_49</v>
      </c>
    </row>
    <row r="57" spans="5:11" x14ac:dyDescent="0.25">
      <c r="E57" t="s">
        <v>2329</v>
      </c>
      <c r="F57" t="s">
        <v>2401</v>
      </c>
      <c r="G57">
        <v>7</v>
      </c>
      <c r="H57" t="str">
        <f t="shared" si="4"/>
        <v>2</v>
      </c>
      <c r="I57" t="str">
        <f t="shared" si="1"/>
        <v>Q14_7_2</v>
      </c>
      <c r="J57">
        <v>50</v>
      </c>
      <c r="K57" t="str">
        <f t="shared" si="2"/>
        <v>Q14_50</v>
      </c>
    </row>
    <row r="58" spans="5:11" x14ac:dyDescent="0.25">
      <c r="E58" t="s">
        <v>2330</v>
      </c>
      <c r="F58" t="s">
        <v>2401</v>
      </c>
      <c r="G58">
        <v>1</v>
      </c>
      <c r="H58" t="str">
        <f t="shared" si="4"/>
        <v>3</v>
      </c>
      <c r="I58" t="str">
        <f t="shared" si="1"/>
        <v>Q14_1_3</v>
      </c>
      <c r="J58">
        <v>51</v>
      </c>
      <c r="K58" t="str">
        <f t="shared" si="2"/>
        <v>Q14_51</v>
      </c>
    </row>
    <row r="59" spans="5:11" x14ac:dyDescent="0.25">
      <c r="E59" t="s">
        <v>2331</v>
      </c>
      <c r="F59" t="s">
        <v>2401</v>
      </c>
      <c r="G59">
        <v>2</v>
      </c>
      <c r="H59" t="str">
        <f t="shared" si="4"/>
        <v>3</v>
      </c>
      <c r="I59" t="str">
        <f t="shared" si="1"/>
        <v>Q14_2_3</v>
      </c>
      <c r="J59">
        <v>52</v>
      </c>
      <c r="K59" t="str">
        <f t="shared" si="2"/>
        <v>Q14_52</v>
      </c>
    </row>
    <row r="60" spans="5:11" x14ac:dyDescent="0.25">
      <c r="E60" t="s">
        <v>2332</v>
      </c>
      <c r="F60" t="s">
        <v>2401</v>
      </c>
      <c r="G60">
        <v>3</v>
      </c>
      <c r="H60" t="str">
        <f t="shared" si="4"/>
        <v>3</v>
      </c>
      <c r="I60" t="str">
        <f t="shared" si="1"/>
        <v>Q14_3_3</v>
      </c>
      <c r="J60">
        <v>53</v>
      </c>
      <c r="K60" t="str">
        <f t="shared" si="2"/>
        <v>Q14_53</v>
      </c>
    </row>
    <row r="61" spans="5:11" x14ac:dyDescent="0.25">
      <c r="E61" t="s">
        <v>2333</v>
      </c>
      <c r="F61" t="s">
        <v>2401</v>
      </c>
      <c r="G61">
        <v>4</v>
      </c>
      <c r="H61" t="str">
        <f t="shared" si="4"/>
        <v>3</v>
      </c>
      <c r="I61" t="str">
        <f t="shared" si="1"/>
        <v>Q14_4_3</v>
      </c>
      <c r="J61">
        <v>54</v>
      </c>
      <c r="K61" t="str">
        <f t="shared" si="2"/>
        <v>Q14_54</v>
      </c>
    </row>
    <row r="62" spans="5:11" x14ac:dyDescent="0.25">
      <c r="E62" t="s">
        <v>2334</v>
      </c>
      <c r="F62" t="s">
        <v>2401</v>
      </c>
      <c r="G62">
        <v>5</v>
      </c>
      <c r="H62" t="str">
        <f t="shared" si="4"/>
        <v>3</v>
      </c>
      <c r="I62" t="str">
        <f t="shared" si="1"/>
        <v>Q14_5_3</v>
      </c>
      <c r="J62">
        <v>55</v>
      </c>
      <c r="K62" t="str">
        <f t="shared" si="2"/>
        <v>Q14_55</v>
      </c>
    </row>
    <row r="63" spans="5:11" x14ac:dyDescent="0.25">
      <c r="E63" t="s">
        <v>2335</v>
      </c>
      <c r="F63" t="s">
        <v>2401</v>
      </c>
      <c r="G63">
        <v>6</v>
      </c>
      <c r="H63" t="str">
        <f t="shared" si="4"/>
        <v>3</v>
      </c>
      <c r="I63" t="str">
        <f t="shared" si="1"/>
        <v>Q14_6_3</v>
      </c>
      <c r="J63">
        <v>56</v>
      </c>
      <c r="K63" t="str">
        <f t="shared" si="2"/>
        <v>Q14_56</v>
      </c>
    </row>
    <row r="64" spans="5:11" x14ac:dyDescent="0.25">
      <c r="E64" t="s">
        <v>2336</v>
      </c>
      <c r="F64" t="s">
        <v>2401</v>
      </c>
      <c r="G64">
        <v>7</v>
      </c>
      <c r="H64" t="str">
        <f t="shared" si="4"/>
        <v>3</v>
      </c>
      <c r="I64" t="str">
        <f t="shared" si="1"/>
        <v>Q14_7_3</v>
      </c>
      <c r="J64">
        <v>57</v>
      </c>
      <c r="K64" t="str">
        <f t="shared" si="2"/>
        <v>Q14_57</v>
      </c>
    </row>
    <row r="65" spans="5:11" x14ac:dyDescent="0.25">
      <c r="E65" t="s">
        <v>2337</v>
      </c>
      <c r="F65" t="s">
        <v>2401</v>
      </c>
      <c r="G65">
        <v>1</v>
      </c>
      <c r="H65" t="str">
        <f t="shared" si="4"/>
        <v>4</v>
      </c>
      <c r="I65" t="str">
        <f t="shared" si="1"/>
        <v>Q14_1_4</v>
      </c>
      <c r="J65">
        <v>58</v>
      </c>
      <c r="K65" t="str">
        <f t="shared" si="2"/>
        <v>Q14_58</v>
      </c>
    </row>
    <row r="66" spans="5:11" x14ac:dyDescent="0.25">
      <c r="E66" t="s">
        <v>2338</v>
      </c>
      <c r="F66" t="s">
        <v>2401</v>
      </c>
      <c r="G66">
        <v>2</v>
      </c>
      <c r="H66" t="str">
        <f t="shared" si="4"/>
        <v>4</v>
      </c>
      <c r="I66" t="str">
        <f t="shared" si="1"/>
        <v>Q14_2_4</v>
      </c>
      <c r="J66">
        <v>59</v>
      </c>
      <c r="K66" t="str">
        <f t="shared" si="2"/>
        <v>Q14_59</v>
      </c>
    </row>
    <row r="67" spans="5:11" x14ac:dyDescent="0.25">
      <c r="E67" t="s">
        <v>2339</v>
      </c>
      <c r="F67" t="s">
        <v>2401</v>
      </c>
      <c r="G67">
        <v>3</v>
      </c>
      <c r="H67" t="str">
        <f t="shared" si="4"/>
        <v>4</v>
      </c>
      <c r="I67" t="str">
        <f t="shared" si="1"/>
        <v>Q14_3_4</v>
      </c>
      <c r="J67">
        <v>60</v>
      </c>
      <c r="K67" t="str">
        <f t="shared" si="2"/>
        <v>Q14_60</v>
      </c>
    </row>
    <row r="68" spans="5:11" x14ac:dyDescent="0.25">
      <c r="E68" t="s">
        <v>2340</v>
      </c>
      <c r="F68" t="s">
        <v>2401</v>
      </c>
      <c r="G68">
        <v>4</v>
      </c>
      <c r="H68" t="str">
        <f t="shared" si="4"/>
        <v>4</v>
      </c>
      <c r="I68" t="str">
        <f t="shared" si="1"/>
        <v>Q14_4_4</v>
      </c>
      <c r="J68">
        <v>61</v>
      </c>
      <c r="K68" t="str">
        <f t="shared" si="2"/>
        <v>Q14_61</v>
      </c>
    </row>
    <row r="69" spans="5:11" x14ac:dyDescent="0.25">
      <c r="E69" t="s">
        <v>2341</v>
      </c>
      <c r="F69" t="s">
        <v>2401</v>
      </c>
      <c r="G69">
        <v>5</v>
      </c>
      <c r="H69" t="str">
        <f t="shared" si="4"/>
        <v>4</v>
      </c>
      <c r="I69" t="str">
        <f t="shared" si="1"/>
        <v>Q14_5_4</v>
      </c>
      <c r="J69">
        <v>62</v>
      </c>
      <c r="K69" t="str">
        <f t="shared" si="2"/>
        <v>Q14_62</v>
      </c>
    </row>
    <row r="70" spans="5:11" x14ac:dyDescent="0.25">
      <c r="E70" t="s">
        <v>2342</v>
      </c>
      <c r="F70" t="s">
        <v>2401</v>
      </c>
      <c r="G70">
        <v>6</v>
      </c>
      <c r="H70" t="str">
        <f t="shared" si="4"/>
        <v>4</v>
      </c>
      <c r="I70" t="str">
        <f t="shared" si="1"/>
        <v>Q14_6_4</v>
      </c>
      <c r="J70">
        <v>63</v>
      </c>
      <c r="K70" t="str">
        <f t="shared" si="2"/>
        <v>Q14_63</v>
      </c>
    </row>
    <row r="71" spans="5:11" x14ac:dyDescent="0.25">
      <c r="E71" t="s">
        <v>2343</v>
      </c>
      <c r="F71" t="s">
        <v>2401</v>
      </c>
      <c r="G71">
        <v>7</v>
      </c>
      <c r="H71" t="str">
        <f t="shared" si="4"/>
        <v>4</v>
      </c>
      <c r="I71" t="str">
        <f t="shared" si="1"/>
        <v>Q14_7_4</v>
      </c>
      <c r="J71">
        <v>64</v>
      </c>
      <c r="K71" t="str">
        <f t="shared" si="2"/>
        <v>Q14_64</v>
      </c>
    </row>
    <row r="72" spans="5:11" x14ac:dyDescent="0.25">
      <c r="E72" t="s">
        <v>2344</v>
      </c>
      <c r="F72" t="s">
        <v>2401</v>
      </c>
      <c r="G72">
        <v>1</v>
      </c>
      <c r="H72" t="str">
        <f t="shared" si="4"/>
        <v>5</v>
      </c>
      <c r="I72" t="str">
        <f t="shared" si="1"/>
        <v>Q14_1_5</v>
      </c>
      <c r="J72">
        <v>65</v>
      </c>
      <c r="K72" t="str">
        <f t="shared" si="2"/>
        <v>Q14_65</v>
      </c>
    </row>
    <row r="73" spans="5:11" x14ac:dyDescent="0.25">
      <c r="E73" t="s">
        <v>2345</v>
      </c>
      <c r="F73" t="s">
        <v>2401</v>
      </c>
      <c r="G73">
        <v>2</v>
      </c>
      <c r="H73" t="str">
        <f t="shared" si="4"/>
        <v>5</v>
      </c>
      <c r="I73" t="str">
        <f t="shared" ref="I73:I127" si="5">F73&amp;"_"&amp;G73&amp;"_"&amp;H73</f>
        <v>Q14_2_5</v>
      </c>
      <c r="J73">
        <v>66</v>
      </c>
      <c r="K73" t="str">
        <f t="shared" ref="K73:K127" si="6">F73&amp;"_"&amp;J73</f>
        <v>Q14_66</v>
      </c>
    </row>
    <row r="74" spans="5:11" x14ac:dyDescent="0.25">
      <c r="E74" t="s">
        <v>2346</v>
      </c>
      <c r="F74" t="s">
        <v>2401</v>
      </c>
      <c r="G74">
        <v>3</v>
      </c>
      <c r="H74" t="str">
        <f t="shared" si="4"/>
        <v>5</v>
      </c>
      <c r="I74" t="str">
        <f t="shared" si="5"/>
        <v>Q14_3_5</v>
      </c>
      <c r="J74">
        <v>67</v>
      </c>
      <c r="K74" t="str">
        <f t="shared" si="6"/>
        <v>Q14_67</v>
      </c>
    </row>
    <row r="75" spans="5:11" x14ac:dyDescent="0.25">
      <c r="E75" t="s">
        <v>2347</v>
      </c>
      <c r="F75" t="s">
        <v>2401</v>
      </c>
      <c r="G75">
        <v>4</v>
      </c>
      <c r="H75" t="str">
        <f t="shared" si="4"/>
        <v>5</v>
      </c>
      <c r="I75" t="str">
        <f t="shared" si="5"/>
        <v>Q14_4_5</v>
      </c>
      <c r="J75">
        <v>68</v>
      </c>
      <c r="K75" t="str">
        <f t="shared" si="6"/>
        <v>Q14_68</v>
      </c>
    </row>
    <row r="76" spans="5:11" x14ac:dyDescent="0.25">
      <c r="E76" t="s">
        <v>2348</v>
      </c>
      <c r="F76" t="s">
        <v>2401</v>
      </c>
      <c r="G76">
        <v>5</v>
      </c>
      <c r="H76" t="str">
        <f t="shared" si="4"/>
        <v>5</v>
      </c>
      <c r="I76" t="str">
        <f t="shared" si="5"/>
        <v>Q14_5_5</v>
      </c>
      <c r="J76">
        <v>69</v>
      </c>
      <c r="K76" t="str">
        <f t="shared" si="6"/>
        <v>Q14_69</v>
      </c>
    </row>
    <row r="77" spans="5:11" x14ac:dyDescent="0.25">
      <c r="E77" t="s">
        <v>2349</v>
      </c>
      <c r="F77" t="s">
        <v>2401</v>
      </c>
      <c r="G77">
        <v>6</v>
      </c>
      <c r="H77" t="str">
        <f t="shared" si="4"/>
        <v>5</v>
      </c>
      <c r="I77" t="str">
        <f t="shared" si="5"/>
        <v>Q14_6_5</v>
      </c>
      <c r="J77">
        <v>70</v>
      </c>
      <c r="K77" t="str">
        <f t="shared" si="6"/>
        <v>Q14_70</v>
      </c>
    </row>
    <row r="78" spans="5:11" x14ac:dyDescent="0.25">
      <c r="E78" t="s">
        <v>2350</v>
      </c>
      <c r="F78" t="s">
        <v>2401</v>
      </c>
      <c r="G78">
        <v>7</v>
      </c>
      <c r="H78" t="str">
        <f t="shared" si="4"/>
        <v>5</v>
      </c>
      <c r="I78" t="str">
        <f t="shared" si="5"/>
        <v>Q14_7_5</v>
      </c>
      <c r="J78">
        <v>71</v>
      </c>
      <c r="K78" t="str">
        <f t="shared" si="6"/>
        <v>Q14_71</v>
      </c>
    </row>
    <row r="79" spans="5:11" x14ac:dyDescent="0.25">
      <c r="E79" t="s">
        <v>2351</v>
      </c>
      <c r="F79" t="s">
        <v>2401</v>
      </c>
      <c r="G79">
        <v>1</v>
      </c>
      <c r="H79" t="str">
        <f t="shared" si="4"/>
        <v>6</v>
      </c>
      <c r="I79" t="str">
        <f t="shared" si="5"/>
        <v>Q14_1_6</v>
      </c>
      <c r="J79">
        <v>72</v>
      </c>
      <c r="K79" t="str">
        <f t="shared" si="6"/>
        <v>Q14_72</v>
      </c>
    </row>
    <row r="80" spans="5:11" x14ac:dyDescent="0.25">
      <c r="E80" t="s">
        <v>2352</v>
      </c>
      <c r="F80" t="s">
        <v>2401</v>
      </c>
      <c r="G80">
        <v>2</v>
      </c>
      <c r="H80" t="str">
        <f t="shared" si="4"/>
        <v>6</v>
      </c>
      <c r="I80" t="str">
        <f t="shared" si="5"/>
        <v>Q14_2_6</v>
      </c>
      <c r="J80">
        <v>73</v>
      </c>
      <c r="K80" t="str">
        <f t="shared" si="6"/>
        <v>Q14_73</v>
      </c>
    </row>
    <row r="81" spans="5:11" x14ac:dyDescent="0.25">
      <c r="E81" t="s">
        <v>2353</v>
      </c>
      <c r="F81" t="s">
        <v>2401</v>
      </c>
      <c r="G81">
        <v>3</v>
      </c>
      <c r="H81" t="str">
        <f t="shared" si="4"/>
        <v>6</v>
      </c>
      <c r="I81" t="str">
        <f t="shared" si="5"/>
        <v>Q14_3_6</v>
      </c>
      <c r="J81">
        <v>74</v>
      </c>
      <c r="K81" t="str">
        <f t="shared" si="6"/>
        <v>Q14_74</v>
      </c>
    </row>
    <row r="82" spans="5:11" x14ac:dyDescent="0.25">
      <c r="E82" t="s">
        <v>2354</v>
      </c>
      <c r="F82" t="s">
        <v>2401</v>
      </c>
      <c r="G82">
        <v>4</v>
      </c>
      <c r="H82" t="str">
        <f t="shared" si="4"/>
        <v>6</v>
      </c>
      <c r="I82" t="str">
        <f t="shared" si="5"/>
        <v>Q14_4_6</v>
      </c>
      <c r="J82">
        <v>75</v>
      </c>
      <c r="K82" t="str">
        <f t="shared" si="6"/>
        <v>Q14_75</v>
      </c>
    </row>
    <row r="83" spans="5:11" x14ac:dyDescent="0.25">
      <c r="E83" t="s">
        <v>2355</v>
      </c>
      <c r="F83" t="s">
        <v>2401</v>
      </c>
      <c r="G83">
        <v>5</v>
      </c>
      <c r="H83" t="str">
        <f t="shared" si="4"/>
        <v>6</v>
      </c>
      <c r="I83" t="str">
        <f t="shared" si="5"/>
        <v>Q14_5_6</v>
      </c>
      <c r="J83">
        <v>76</v>
      </c>
      <c r="K83" t="str">
        <f t="shared" si="6"/>
        <v>Q14_76</v>
      </c>
    </row>
    <row r="84" spans="5:11" x14ac:dyDescent="0.25">
      <c r="E84" t="s">
        <v>2356</v>
      </c>
      <c r="F84" t="s">
        <v>2401</v>
      </c>
      <c r="G84">
        <v>6</v>
      </c>
      <c r="H84" t="str">
        <f t="shared" si="4"/>
        <v>6</v>
      </c>
      <c r="I84" t="str">
        <f t="shared" si="5"/>
        <v>Q14_6_6</v>
      </c>
      <c r="J84">
        <v>77</v>
      </c>
      <c r="K84" t="str">
        <f t="shared" si="6"/>
        <v>Q14_77</v>
      </c>
    </row>
    <row r="85" spans="5:11" x14ac:dyDescent="0.25">
      <c r="E85" t="s">
        <v>2357</v>
      </c>
      <c r="F85" t="s">
        <v>2401</v>
      </c>
      <c r="G85">
        <v>7</v>
      </c>
      <c r="H85" t="str">
        <f t="shared" si="4"/>
        <v>6</v>
      </c>
      <c r="I85" t="str">
        <f t="shared" si="5"/>
        <v>Q14_7_6</v>
      </c>
      <c r="J85">
        <v>78</v>
      </c>
      <c r="K85" t="str">
        <f t="shared" si="6"/>
        <v>Q14_78</v>
      </c>
    </row>
    <row r="86" spans="5:11" x14ac:dyDescent="0.25">
      <c r="E86" t="s">
        <v>2358</v>
      </c>
      <c r="F86" t="s">
        <v>2401</v>
      </c>
      <c r="G86">
        <v>1</v>
      </c>
      <c r="H86" t="str">
        <f t="shared" si="4"/>
        <v>7</v>
      </c>
      <c r="I86" t="str">
        <f t="shared" si="5"/>
        <v>Q14_1_7</v>
      </c>
      <c r="J86">
        <v>79</v>
      </c>
      <c r="K86" t="str">
        <f t="shared" si="6"/>
        <v>Q14_79</v>
      </c>
    </row>
    <row r="87" spans="5:11" x14ac:dyDescent="0.25">
      <c r="E87" t="s">
        <v>2359</v>
      </c>
      <c r="F87" t="s">
        <v>2401</v>
      </c>
      <c r="G87">
        <v>2</v>
      </c>
      <c r="H87" t="str">
        <f t="shared" si="4"/>
        <v>7</v>
      </c>
      <c r="I87" t="str">
        <f t="shared" si="5"/>
        <v>Q14_2_7</v>
      </c>
      <c r="J87">
        <v>80</v>
      </c>
      <c r="K87" t="str">
        <f t="shared" si="6"/>
        <v>Q14_80</v>
      </c>
    </row>
    <row r="88" spans="5:11" x14ac:dyDescent="0.25">
      <c r="E88" t="s">
        <v>2360</v>
      </c>
      <c r="F88" t="s">
        <v>2401</v>
      </c>
      <c r="G88">
        <v>3</v>
      </c>
      <c r="H88" t="str">
        <f t="shared" si="4"/>
        <v>7</v>
      </c>
      <c r="I88" t="str">
        <f t="shared" si="5"/>
        <v>Q14_3_7</v>
      </c>
      <c r="J88">
        <v>81</v>
      </c>
      <c r="K88" t="str">
        <f t="shared" si="6"/>
        <v>Q14_81</v>
      </c>
    </row>
    <row r="89" spans="5:11" x14ac:dyDescent="0.25">
      <c r="E89" t="s">
        <v>2361</v>
      </c>
      <c r="F89" t="s">
        <v>2401</v>
      </c>
      <c r="G89">
        <v>4</v>
      </c>
      <c r="H89" t="str">
        <f t="shared" si="4"/>
        <v>7</v>
      </c>
      <c r="I89" t="str">
        <f t="shared" si="5"/>
        <v>Q14_4_7</v>
      </c>
      <c r="J89">
        <v>82</v>
      </c>
      <c r="K89" t="str">
        <f t="shared" si="6"/>
        <v>Q14_82</v>
      </c>
    </row>
    <row r="90" spans="5:11" x14ac:dyDescent="0.25">
      <c r="E90" t="s">
        <v>2362</v>
      </c>
      <c r="F90" t="s">
        <v>2401</v>
      </c>
      <c r="G90">
        <v>5</v>
      </c>
      <c r="H90" t="str">
        <f t="shared" si="4"/>
        <v>7</v>
      </c>
      <c r="I90" t="str">
        <f t="shared" si="5"/>
        <v>Q14_5_7</v>
      </c>
      <c r="J90">
        <v>83</v>
      </c>
      <c r="K90" t="str">
        <f t="shared" si="6"/>
        <v>Q14_83</v>
      </c>
    </row>
    <row r="91" spans="5:11" x14ac:dyDescent="0.25">
      <c r="E91" t="s">
        <v>2363</v>
      </c>
      <c r="F91" t="s">
        <v>2401</v>
      </c>
      <c r="G91">
        <v>6</v>
      </c>
      <c r="H91" t="str">
        <f t="shared" si="4"/>
        <v>7</v>
      </c>
      <c r="I91" t="str">
        <f t="shared" si="5"/>
        <v>Q14_6_7</v>
      </c>
      <c r="J91">
        <v>84</v>
      </c>
      <c r="K91" t="str">
        <f t="shared" si="6"/>
        <v>Q14_84</v>
      </c>
    </row>
    <row r="92" spans="5:11" x14ac:dyDescent="0.25">
      <c r="E92" t="s">
        <v>2364</v>
      </c>
      <c r="F92" t="s">
        <v>2401</v>
      </c>
      <c r="G92">
        <v>7</v>
      </c>
      <c r="H92" t="str">
        <f t="shared" si="4"/>
        <v>7</v>
      </c>
      <c r="I92" t="str">
        <f t="shared" si="5"/>
        <v>Q14_7_7</v>
      </c>
      <c r="J92">
        <v>85</v>
      </c>
      <c r="K92" t="str">
        <f t="shared" si="6"/>
        <v>Q14_85</v>
      </c>
    </row>
    <row r="93" spans="5:11" x14ac:dyDescent="0.25">
      <c r="E93" t="s">
        <v>2365</v>
      </c>
      <c r="F93" t="s">
        <v>2401</v>
      </c>
      <c r="G93">
        <v>1</v>
      </c>
      <c r="H93" t="str">
        <f t="shared" si="4"/>
        <v>8</v>
      </c>
      <c r="I93" t="str">
        <f t="shared" si="5"/>
        <v>Q14_1_8</v>
      </c>
      <c r="J93">
        <v>86</v>
      </c>
      <c r="K93" t="str">
        <f t="shared" si="6"/>
        <v>Q14_86</v>
      </c>
    </row>
    <row r="94" spans="5:11" x14ac:dyDescent="0.25">
      <c r="E94" t="s">
        <v>2366</v>
      </c>
      <c r="F94" t="s">
        <v>2401</v>
      </c>
      <c r="G94">
        <v>2</v>
      </c>
      <c r="H94" t="str">
        <f t="shared" si="4"/>
        <v>8</v>
      </c>
      <c r="I94" t="str">
        <f t="shared" si="5"/>
        <v>Q14_2_8</v>
      </c>
      <c r="J94">
        <v>87</v>
      </c>
      <c r="K94" t="str">
        <f t="shared" si="6"/>
        <v>Q14_87</v>
      </c>
    </row>
    <row r="95" spans="5:11" x14ac:dyDescent="0.25">
      <c r="E95" t="s">
        <v>2367</v>
      </c>
      <c r="F95" t="s">
        <v>2401</v>
      </c>
      <c r="G95">
        <v>3</v>
      </c>
      <c r="H95" t="str">
        <f t="shared" si="4"/>
        <v>8</v>
      </c>
      <c r="I95" t="str">
        <f t="shared" si="5"/>
        <v>Q14_3_8</v>
      </c>
      <c r="J95">
        <v>88</v>
      </c>
      <c r="K95" t="str">
        <f t="shared" si="6"/>
        <v>Q14_88</v>
      </c>
    </row>
    <row r="96" spans="5:11" x14ac:dyDescent="0.25">
      <c r="E96" t="s">
        <v>2368</v>
      </c>
      <c r="F96" t="s">
        <v>2401</v>
      </c>
      <c r="G96">
        <v>4</v>
      </c>
      <c r="H96" t="str">
        <f t="shared" si="4"/>
        <v>8</v>
      </c>
      <c r="I96" t="str">
        <f t="shared" si="5"/>
        <v>Q14_4_8</v>
      </c>
      <c r="J96">
        <v>89</v>
      </c>
      <c r="K96" t="str">
        <f t="shared" si="6"/>
        <v>Q14_89</v>
      </c>
    </row>
    <row r="97" spans="5:11" x14ac:dyDescent="0.25">
      <c r="E97" t="s">
        <v>2369</v>
      </c>
      <c r="F97" t="s">
        <v>2401</v>
      </c>
      <c r="G97">
        <v>5</v>
      </c>
      <c r="H97" t="str">
        <f t="shared" si="4"/>
        <v>8</v>
      </c>
      <c r="I97" t="str">
        <f t="shared" si="5"/>
        <v>Q14_5_8</v>
      </c>
      <c r="J97">
        <v>90</v>
      </c>
      <c r="K97" t="str">
        <f t="shared" si="6"/>
        <v>Q14_90</v>
      </c>
    </row>
    <row r="98" spans="5:11" x14ac:dyDescent="0.25">
      <c r="E98" t="s">
        <v>2370</v>
      </c>
      <c r="F98" t="s">
        <v>2401</v>
      </c>
      <c r="G98">
        <v>6</v>
      </c>
      <c r="H98" t="str">
        <f t="shared" si="4"/>
        <v>8</v>
      </c>
      <c r="I98" t="str">
        <f t="shared" si="5"/>
        <v>Q14_6_8</v>
      </c>
      <c r="J98">
        <v>91</v>
      </c>
      <c r="K98" t="str">
        <f t="shared" si="6"/>
        <v>Q14_91</v>
      </c>
    </row>
    <row r="99" spans="5:11" x14ac:dyDescent="0.25">
      <c r="E99" t="s">
        <v>2371</v>
      </c>
      <c r="F99" t="s">
        <v>2401</v>
      </c>
      <c r="G99">
        <v>7</v>
      </c>
      <c r="H99" t="str">
        <f t="shared" si="4"/>
        <v>8</v>
      </c>
      <c r="I99" t="str">
        <f t="shared" si="5"/>
        <v>Q14_7_8</v>
      </c>
      <c r="J99">
        <v>92</v>
      </c>
      <c r="K99" t="str">
        <f t="shared" si="6"/>
        <v>Q14_92</v>
      </c>
    </row>
    <row r="100" spans="5:11" x14ac:dyDescent="0.25">
      <c r="E100" t="s">
        <v>2372</v>
      </c>
      <c r="F100" t="s">
        <v>2401</v>
      </c>
      <c r="G100">
        <v>1</v>
      </c>
      <c r="H100" t="str">
        <f t="shared" si="4"/>
        <v>9</v>
      </c>
      <c r="I100" t="str">
        <f t="shared" si="5"/>
        <v>Q14_1_9</v>
      </c>
      <c r="J100">
        <v>93</v>
      </c>
      <c r="K100" t="str">
        <f t="shared" si="6"/>
        <v>Q14_93</v>
      </c>
    </row>
    <row r="101" spans="5:11" x14ac:dyDescent="0.25">
      <c r="E101" t="s">
        <v>2373</v>
      </c>
      <c r="F101" t="s">
        <v>2401</v>
      </c>
      <c r="G101">
        <v>2</v>
      </c>
      <c r="H101" t="str">
        <f t="shared" si="4"/>
        <v>9</v>
      </c>
      <c r="I101" t="str">
        <f t="shared" si="5"/>
        <v>Q14_2_9</v>
      </c>
      <c r="J101">
        <v>94</v>
      </c>
      <c r="K101" t="str">
        <f t="shared" si="6"/>
        <v>Q14_94</v>
      </c>
    </row>
    <row r="102" spans="5:11" x14ac:dyDescent="0.25">
      <c r="E102" t="s">
        <v>2374</v>
      </c>
      <c r="F102" t="s">
        <v>2401</v>
      </c>
      <c r="G102">
        <v>3</v>
      </c>
      <c r="H102" t="str">
        <f t="shared" si="4"/>
        <v>9</v>
      </c>
      <c r="I102" t="str">
        <f t="shared" si="5"/>
        <v>Q14_3_9</v>
      </c>
      <c r="J102">
        <v>95</v>
      </c>
      <c r="K102" t="str">
        <f t="shared" si="6"/>
        <v>Q14_95</v>
      </c>
    </row>
    <row r="103" spans="5:11" x14ac:dyDescent="0.25">
      <c r="E103" t="s">
        <v>2375</v>
      </c>
      <c r="F103" t="s">
        <v>2401</v>
      </c>
      <c r="G103">
        <v>4</v>
      </c>
      <c r="H103" t="str">
        <f t="shared" si="4"/>
        <v>9</v>
      </c>
      <c r="I103" t="str">
        <f t="shared" si="5"/>
        <v>Q14_4_9</v>
      </c>
      <c r="J103">
        <v>96</v>
      </c>
      <c r="K103" t="str">
        <f t="shared" si="6"/>
        <v>Q14_96</v>
      </c>
    </row>
    <row r="104" spans="5:11" x14ac:dyDescent="0.25">
      <c r="E104" t="s">
        <v>2376</v>
      </c>
      <c r="F104" t="s">
        <v>2401</v>
      </c>
      <c r="G104">
        <v>5</v>
      </c>
      <c r="H104" t="str">
        <f t="shared" si="4"/>
        <v>9</v>
      </c>
      <c r="I104" t="str">
        <f t="shared" si="5"/>
        <v>Q14_5_9</v>
      </c>
      <c r="J104">
        <v>97</v>
      </c>
      <c r="K104" t="str">
        <f t="shared" si="6"/>
        <v>Q14_97</v>
      </c>
    </row>
    <row r="105" spans="5:11" x14ac:dyDescent="0.25">
      <c r="E105" t="s">
        <v>2377</v>
      </c>
      <c r="F105" t="s">
        <v>2401</v>
      </c>
      <c r="G105">
        <v>6</v>
      </c>
      <c r="H105" t="str">
        <f t="shared" si="4"/>
        <v>9</v>
      </c>
      <c r="I105" t="str">
        <f t="shared" si="5"/>
        <v>Q14_6_9</v>
      </c>
      <c r="J105">
        <v>98</v>
      </c>
      <c r="K105" t="str">
        <f t="shared" si="6"/>
        <v>Q14_98</v>
      </c>
    </row>
    <row r="106" spans="5:11" x14ac:dyDescent="0.25">
      <c r="E106" t="s">
        <v>2378</v>
      </c>
      <c r="F106" t="s">
        <v>2401</v>
      </c>
      <c r="G106">
        <v>7</v>
      </c>
      <c r="H106" t="str">
        <f t="shared" si="4"/>
        <v>9</v>
      </c>
      <c r="I106" t="str">
        <f t="shared" si="5"/>
        <v>Q14_7_9</v>
      </c>
      <c r="J106">
        <v>99</v>
      </c>
      <c r="K106" t="str">
        <f t="shared" si="6"/>
        <v>Q14_99</v>
      </c>
    </row>
    <row r="107" spans="5:11" x14ac:dyDescent="0.25">
      <c r="E107" t="s">
        <v>2379</v>
      </c>
      <c r="F107" t="s">
        <v>2401</v>
      </c>
      <c r="G107">
        <v>1</v>
      </c>
      <c r="H107" t="str">
        <f>MID(E107,30,2)</f>
        <v>10</v>
      </c>
      <c r="I107" t="str">
        <f t="shared" si="5"/>
        <v>Q14_1_10</v>
      </c>
      <c r="J107">
        <v>100</v>
      </c>
      <c r="K107" t="str">
        <f t="shared" si="6"/>
        <v>Q14_100</v>
      </c>
    </row>
    <row r="108" spans="5:11" x14ac:dyDescent="0.25">
      <c r="E108" t="s">
        <v>2380</v>
      </c>
      <c r="F108" t="s">
        <v>2401</v>
      </c>
      <c r="G108">
        <v>2</v>
      </c>
      <c r="H108" t="str">
        <f t="shared" ref="H108:H127" si="7">MID(E108,30,2)</f>
        <v>10</v>
      </c>
      <c r="I108" t="str">
        <f t="shared" si="5"/>
        <v>Q14_2_10</v>
      </c>
      <c r="J108">
        <v>101</v>
      </c>
      <c r="K108" t="str">
        <f t="shared" si="6"/>
        <v>Q14_101</v>
      </c>
    </row>
    <row r="109" spans="5:11" x14ac:dyDescent="0.25">
      <c r="E109" t="s">
        <v>2381</v>
      </c>
      <c r="F109" t="s">
        <v>2401</v>
      </c>
      <c r="G109">
        <v>3</v>
      </c>
      <c r="H109" t="str">
        <f t="shared" si="7"/>
        <v>10</v>
      </c>
      <c r="I109" t="str">
        <f t="shared" si="5"/>
        <v>Q14_3_10</v>
      </c>
      <c r="J109">
        <v>102</v>
      </c>
      <c r="K109" t="str">
        <f t="shared" si="6"/>
        <v>Q14_102</v>
      </c>
    </row>
    <row r="110" spans="5:11" x14ac:dyDescent="0.25">
      <c r="E110" t="s">
        <v>2382</v>
      </c>
      <c r="F110" t="s">
        <v>2401</v>
      </c>
      <c r="G110">
        <v>4</v>
      </c>
      <c r="H110" t="str">
        <f t="shared" si="7"/>
        <v>10</v>
      </c>
      <c r="I110" t="str">
        <f t="shared" si="5"/>
        <v>Q14_4_10</v>
      </c>
      <c r="J110">
        <v>103</v>
      </c>
      <c r="K110" t="str">
        <f t="shared" si="6"/>
        <v>Q14_103</v>
      </c>
    </row>
    <row r="111" spans="5:11" x14ac:dyDescent="0.25">
      <c r="E111" t="s">
        <v>2383</v>
      </c>
      <c r="F111" t="s">
        <v>2401</v>
      </c>
      <c r="G111">
        <v>5</v>
      </c>
      <c r="H111" t="str">
        <f t="shared" si="7"/>
        <v>10</v>
      </c>
      <c r="I111" t="str">
        <f t="shared" si="5"/>
        <v>Q14_5_10</v>
      </c>
      <c r="J111">
        <v>104</v>
      </c>
      <c r="K111" t="str">
        <f t="shared" si="6"/>
        <v>Q14_104</v>
      </c>
    </row>
    <row r="112" spans="5:11" x14ac:dyDescent="0.25">
      <c r="E112" t="s">
        <v>2384</v>
      </c>
      <c r="F112" t="s">
        <v>2401</v>
      </c>
      <c r="G112">
        <v>6</v>
      </c>
      <c r="H112" t="str">
        <f t="shared" si="7"/>
        <v>10</v>
      </c>
      <c r="I112" t="str">
        <f t="shared" si="5"/>
        <v>Q14_6_10</v>
      </c>
      <c r="J112">
        <v>105</v>
      </c>
      <c r="K112" t="str">
        <f t="shared" si="6"/>
        <v>Q14_105</v>
      </c>
    </row>
    <row r="113" spans="5:11" x14ac:dyDescent="0.25">
      <c r="E113" t="s">
        <v>2385</v>
      </c>
      <c r="F113" t="s">
        <v>2401</v>
      </c>
      <c r="G113">
        <v>7</v>
      </c>
      <c r="H113" t="str">
        <f t="shared" si="7"/>
        <v>10</v>
      </c>
      <c r="I113" t="str">
        <f t="shared" si="5"/>
        <v>Q14_7_10</v>
      </c>
      <c r="J113">
        <v>106</v>
      </c>
      <c r="K113" t="str">
        <f t="shared" si="6"/>
        <v>Q14_106</v>
      </c>
    </row>
    <row r="114" spans="5:11" x14ac:dyDescent="0.25">
      <c r="E114" t="s">
        <v>2386</v>
      </c>
      <c r="F114" t="s">
        <v>2401</v>
      </c>
      <c r="G114">
        <v>1</v>
      </c>
      <c r="H114" t="str">
        <f t="shared" si="7"/>
        <v>11</v>
      </c>
      <c r="I114" t="str">
        <f t="shared" si="5"/>
        <v>Q14_1_11</v>
      </c>
      <c r="J114">
        <v>107</v>
      </c>
      <c r="K114" t="str">
        <f t="shared" si="6"/>
        <v>Q14_107</v>
      </c>
    </row>
    <row r="115" spans="5:11" x14ac:dyDescent="0.25">
      <c r="E115" t="s">
        <v>2387</v>
      </c>
      <c r="F115" t="s">
        <v>2401</v>
      </c>
      <c r="G115">
        <v>2</v>
      </c>
      <c r="H115" t="str">
        <f t="shared" si="7"/>
        <v>11</v>
      </c>
      <c r="I115" t="str">
        <f t="shared" si="5"/>
        <v>Q14_2_11</v>
      </c>
      <c r="J115">
        <v>108</v>
      </c>
      <c r="K115" t="str">
        <f t="shared" si="6"/>
        <v>Q14_108</v>
      </c>
    </row>
    <row r="116" spans="5:11" x14ac:dyDescent="0.25">
      <c r="E116" t="s">
        <v>2388</v>
      </c>
      <c r="F116" t="s">
        <v>2401</v>
      </c>
      <c r="G116">
        <v>3</v>
      </c>
      <c r="H116" t="str">
        <f t="shared" si="7"/>
        <v>11</v>
      </c>
      <c r="I116" t="str">
        <f t="shared" si="5"/>
        <v>Q14_3_11</v>
      </c>
      <c r="J116">
        <v>109</v>
      </c>
      <c r="K116" t="str">
        <f t="shared" si="6"/>
        <v>Q14_109</v>
      </c>
    </row>
    <row r="117" spans="5:11" x14ac:dyDescent="0.25">
      <c r="E117" t="s">
        <v>2389</v>
      </c>
      <c r="F117" t="s">
        <v>2401</v>
      </c>
      <c r="G117">
        <v>4</v>
      </c>
      <c r="H117" t="str">
        <f t="shared" si="7"/>
        <v>11</v>
      </c>
      <c r="I117" t="str">
        <f t="shared" si="5"/>
        <v>Q14_4_11</v>
      </c>
      <c r="J117">
        <v>110</v>
      </c>
      <c r="K117" t="str">
        <f t="shared" si="6"/>
        <v>Q14_110</v>
      </c>
    </row>
    <row r="118" spans="5:11" x14ac:dyDescent="0.25">
      <c r="E118" t="s">
        <v>2390</v>
      </c>
      <c r="F118" t="s">
        <v>2401</v>
      </c>
      <c r="G118">
        <v>5</v>
      </c>
      <c r="H118" t="str">
        <f t="shared" si="7"/>
        <v>11</v>
      </c>
      <c r="I118" t="str">
        <f t="shared" si="5"/>
        <v>Q14_5_11</v>
      </c>
      <c r="J118">
        <v>111</v>
      </c>
      <c r="K118" t="str">
        <f t="shared" si="6"/>
        <v>Q14_111</v>
      </c>
    </row>
    <row r="119" spans="5:11" x14ac:dyDescent="0.25">
      <c r="E119" t="s">
        <v>2391</v>
      </c>
      <c r="F119" t="s">
        <v>2401</v>
      </c>
      <c r="G119">
        <v>6</v>
      </c>
      <c r="H119" t="str">
        <f t="shared" si="7"/>
        <v>11</v>
      </c>
      <c r="I119" t="str">
        <f t="shared" si="5"/>
        <v>Q14_6_11</v>
      </c>
      <c r="J119">
        <v>112</v>
      </c>
      <c r="K119" t="str">
        <f t="shared" si="6"/>
        <v>Q14_112</v>
      </c>
    </row>
    <row r="120" spans="5:11" x14ac:dyDescent="0.25">
      <c r="E120" t="s">
        <v>2392</v>
      </c>
      <c r="F120" t="s">
        <v>2401</v>
      </c>
      <c r="G120">
        <v>7</v>
      </c>
      <c r="H120" t="str">
        <f t="shared" si="7"/>
        <v>11</v>
      </c>
      <c r="I120" t="str">
        <f t="shared" si="5"/>
        <v>Q14_7_11</v>
      </c>
      <c r="J120">
        <v>113</v>
      </c>
      <c r="K120" t="str">
        <f t="shared" si="6"/>
        <v>Q14_113</v>
      </c>
    </row>
    <row r="121" spans="5:11" x14ac:dyDescent="0.25">
      <c r="E121" t="s">
        <v>2393</v>
      </c>
      <c r="F121" t="s">
        <v>2401</v>
      </c>
      <c r="G121">
        <v>1</v>
      </c>
      <c r="H121" t="str">
        <f t="shared" si="7"/>
        <v>12</v>
      </c>
      <c r="I121" t="str">
        <f t="shared" si="5"/>
        <v>Q14_1_12</v>
      </c>
      <c r="J121">
        <v>114</v>
      </c>
      <c r="K121" t="str">
        <f t="shared" si="6"/>
        <v>Q14_114</v>
      </c>
    </row>
    <row r="122" spans="5:11" x14ac:dyDescent="0.25">
      <c r="E122" t="s">
        <v>2394</v>
      </c>
      <c r="F122" t="s">
        <v>2401</v>
      </c>
      <c r="G122">
        <v>2</v>
      </c>
      <c r="H122" t="str">
        <f t="shared" si="7"/>
        <v>12</v>
      </c>
      <c r="I122" t="str">
        <f t="shared" si="5"/>
        <v>Q14_2_12</v>
      </c>
      <c r="J122">
        <v>115</v>
      </c>
      <c r="K122" t="str">
        <f t="shared" si="6"/>
        <v>Q14_115</v>
      </c>
    </row>
    <row r="123" spans="5:11" x14ac:dyDescent="0.25">
      <c r="E123" t="s">
        <v>2395</v>
      </c>
      <c r="F123" t="s">
        <v>2401</v>
      </c>
      <c r="G123">
        <v>3</v>
      </c>
      <c r="H123" t="str">
        <f t="shared" si="7"/>
        <v>12</v>
      </c>
      <c r="I123" t="str">
        <f t="shared" si="5"/>
        <v>Q14_3_12</v>
      </c>
      <c r="J123">
        <v>116</v>
      </c>
      <c r="K123" t="str">
        <f t="shared" si="6"/>
        <v>Q14_116</v>
      </c>
    </row>
    <row r="124" spans="5:11" x14ac:dyDescent="0.25">
      <c r="E124" t="s">
        <v>2396</v>
      </c>
      <c r="F124" t="s">
        <v>2401</v>
      </c>
      <c r="G124">
        <v>4</v>
      </c>
      <c r="H124" t="str">
        <f t="shared" si="7"/>
        <v>12</v>
      </c>
      <c r="I124" t="str">
        <f t="shared" si="5"/>
        <v>Q14_4_12</v>
      </c>
      <c r="J124">
        <v>117</v>
      </c>
      <c r="K124" t="str">
        <f t="shared" si="6"/>
        <v>Q14_117</v>
      </c>
    </row>
    <row r="125" spans="5:11" x14ac:dyDescent="0.25">
      <c r="E125" t="s">
        <v>2397</v>
      </c>
      <c r="F125" t="s">
        <v>2401</v>
      </c>
      <c r="G125">
        <v>5</v>
      </c>
      <c r="H125" t="str">
        <f t="shared" si="7"/>
        <v>12</v>
      </c>
      <c r="I125" t="str">
        <f t="shared" si="5"/>
        <v>Q14_5_12</v>
      </c>
      <c r="J125">
        <v>118</v>
      </c>
      <c r="K125" t="str">
        <f t="shared" si="6"/>
        <v>Q14_118</v>
      </c>
    </row>
    <row r="126" spans="5:11" x14ac:dyDescent="0.25">
      <c r="E126" t="s">
        <v>2398</v>
      </c>
      <c r="F126" t="s">
        <v>2401</v>
      </c>
      <c r="G126">
        <v>6</v>
      </c>
      <c r="H126" t="str">
        <f t="shared" si="7"/>
        <v>12</v>
      </c>
      <c r="I126" t="str">
        <f t="shared" si="5"/>
        <v>Q14_6_12</v>
      </c>
      <c r="J126">
        <v>119</v>
      </c>
      <c r="K126" t="str">
        <f t="shared" si="6"/>
        <v>Q14_119</v>
      </c>
    </row>
    <row r="127" spans="5:11" x14ac:dyDescent="0.25">
      <c r="E127" t="s">
        <v>2399</v>
      </c>
      <c r="F127" t="s">
        <v>2401</v>
      </c>
      <c r="G127">
        <v>7</v>
      </c>
      <c r="H127" t="str">
        <f t="shared" si="7"/>
        <v>12</v>
      </c>
      <c r="I127" t="str">
        <f t="shared" si="5"/>
        <v>Q14_7_12</v>
      </c>
      <c r="J127">
        <v>120</v>
      </c>
      <c r="K127" t="str">
        <f t="shared" si="6"/>
        <v>Q14_120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Value</vt:lpstr>
      <vt:lpstr>Recode</vt:lpstr>
      <vt:lpstr>Restruct</vt:lpstr>
      <vt:lpstr>Factor</vt:lpstr>
      <vt:lpstr>BE</vt:lpstr>
      <vt:lpstr>Sheet4</vt:lpstr>
      <vt:lpstr>Syntax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Ngo Xuan Quoc</dc:creator>
  <cp:lastModifiedBy>viphat</cp:lastModifiedBy>
  <dcterms:created xsi:type="dcterms:W3CDTF">2011-12-09T08:21:33Z</dcterms:created>
  <dcterms:modified xsi:type="dcterms:W3CDTF">2014-04-27T09:51:24Z</dcterms:modified>
</cp:coreProperties>
</file>