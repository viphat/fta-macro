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Huong dan su dung" sheetId="2" r:id="rId1"/>
    <sheet name="Output" sheetId="3" r:id="rId2"/>
    <sheet name="Data" sheetId="1" r:id="rId3"/>
    <sheet name="Sig Test" sheetId="4" r:id="rId4"/>
    <sheet name="Mark màu" sheetId="5" r:id="rId5"/>
  </sheets>
  <calcPr calcId="144525"/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4" i="1"/>
  <c r="A10" i="1" l="1"/>
  <c r="A11" i="1" s="1"/>
  <c r="A12" i="1" l="1"/>
  <c r="A13" i="1" l="1"/>
  <c r="A14" i="1" l="1"/>
  <c r="A15" i="1" l="1"/>
</calcChain>
</file>

<file path=xl/sharedStrings.xml><?xml version="1.0" encoding="utf-8"?>
<sst xmlns="http://schemas.openxmlformats.org/spreadsheetml/2006/main" count="848" uniqueCount="298">
  <si>
    <t>Brand_Header 2</t>
  </si>
  <si>
    <t>Mui_huong_1</t>
  </si>
  <si>
    <t>Mui_huong_2</t>
  </si>
  <si>
    <t>Mui_huong_3</t>
  </si>
  <si>
    <t>Mui_huong_4</t>
  </si>
  <si>
    <t>Mui_huong_5</t>
  </si>
  <si>
    <t>Mui_huong_6</t>
  </si>
  <si>
    <t>Mui_huong_7</t>
  </si>
  <si>
    <t>Mui_huong_10</t>
  </si>
  <si>
    <t>Mui_huong_8</t>
  </si>
  <si>
    <t>Mui_huong_9</t>
  </si>
  <si>
    <t>Column N %</t>
  </si>
  <si>
    <t>Top box Excellent (7.0)</t>
  </si>
  <si>
    <t>Top 2 Box (6,7)</t>
  </si>
  <si>
    <t>Bottom 2 box  (1,2)</t>
  </si>
  <si>
    <t>Top 2 Box (4, 5)</t>
  </si>
  <si>
    <t>Bottom 2 Box (1,2)</t>
  </si>
  <si>
    <t>Strong 2 Box (8,9)</t>
  </si>
  <si>
    <t>Weak 2 Box (1,2)</t>
  </si>
  <si>
    <t>Strong 2 Box (4,5)</t>
  </si>
  <si>
    <t>Just right (3)</t>
  </si>
  <si>
    <t>Letter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</si>
  <si>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</si>
  <si>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</si>
  <si>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</si>
  <si>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</si>
  <si>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</si>
  <si>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</si>
  <si>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</si>
  <si>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</si>
  <si>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</si>
  <si>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</si>
  <si>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 xml:space="preserve">Q1. Overall opinion of the fragrance OOF  </t>
    </r>
    <r>
      <rPr>
        <b/>
        <sz val="9"/>
        <color indexed="13"/>
        <rFont val="Arial"/>
        <family val="2"/>
      </rPr>
      <t>M.S</t>
    </r>
  </si>
  <si>
    <t>b</t>
  </si>
  <si>
    <r>
      <t xml:space="preserve">Q1b I can smell the fragrance as soon as I start stirring the solution to create lather </t>
    </r>
    <r>
      <rPr>
        <b/>
        <sz val="9"/>
        <color theme="5"/>
        <rFont val="Arial"/>
        <family val="2"/>
      </rPr>
      <t>SOAK</t>
    </r>
    <r>
      <rPr>
        <b/>
        <sz val="9"/>
        <color indexed="9"/>
        <rFont val="Arial"/>
        <family val="2"/>
      </rPr>
      <t xml:space="preserve"> </t>
    </r>
    <r>
      <rPr>
        <b/>
        <sz val="9"/>
        <color indexed="13"/>
        <rFont val="Arial"/>
        <family val="2"/>
      </rPr>
      <t>M.S</t>
    </r>
  </si>
  <si>
    <t>e</t>
  </si>
  <si>
    <t>j</t>
  </si>
  <si>
    <r>
      <t xml:space="preserve">Q.2 Can you please rate the intensity/strength of the scent on a ? </t>
    </r>
    <r>
      <rPr>
        <b/>
        <sz val="9"/>
        <color indexed="13"/>
        <rFont val="Arial"/>
        <family val="2"/>
      </rPr>
      <t xml:space="preserve">M S </t>
    </r>
  </si>
  <si>
    <r>
      <t xml:space="preserve">Q.3 Can you please rate the intensity/strength of the scent on a scale from “Too Strong” to “Too Weak”? </t>
    </r>
    <r>
      <rPr>
        <b/>
        <sz val="9"/>
        <color indexed="13"/>
        <rFont val="Arial"/>
        <family val="2"/>
      </rPr>
      <t xml:space="preserve">M S </t>
    </r>
  </si>
  <si>
    <t>a</t>
  </si>
  <si>
    <t>c</t>
  </si>
  <si>
    <r>
      <t>Q4.how does the fragrance of the test product compare to the fragrance of your usual   detergent?</t>
    </r>
    <r>
      <rPr>
        <b/>
        <sz val="9"/>
        <color indexed="13"/>
        <rFont val="Arial"/>
        <family val="2"/>
      </rPr>
      <t xml:space="preserve">M S </t>
    </r>
  </si>
  <si>
    <t>f</t>
  </si>
  <si>
    <t>Q.5 Attributes</t>
  </si>
  <si>
    <r>
      <t xml:space="preserve">Q5.1. Clean Clothes  thoroughly perception </t>
    </r>
    <r>
      <rPr>
        <b/>
        <sz val="9"/>
        <color indexed="13"/>
        <rFont val="Arial"/>
        <family val="2"/>
      </rPr>
      <t>M.S</t>
    </r>
  </si>
  <si>
    <r>
      <t xml:space="preserve">Q5.2. Has a soft smell </t>
    </r>
    <r>
      <rPr>
        <b/>
        <sz val="9"/>
        <color indexed="13"/>
        <rFont val="Arial"/>
        <family val="2"/>
      </rPr>
      <t>M.S</t>
    </r>
  </si>
  <si>
    <r>
      <t xml:space="preserve">Q5.3. Has a caring smell </t>
    </r>
    <r>
      <rPr>
        <b/>
        <sz val="9"/>
        <color indexed="13"/>
        <rFont val="Arial"/>
        <family val="2"/>
      </rPr>
      <t>M.S</t>
    </r>
  </si>
  <si>
    <r>
      <t xml:space="preserve">Q5.4. Has afresh and clean  smell </t>
    </r>
    <r>
      <rPr>
        <b/>
        <sz val="9"/>
        <color indexed="13"/>
        <rFont val="Arial"/>
        <family val="2"/>
      </rPr>
      <t>M.S</t>
    </r>
  </si>
  <si>
    <t>E F</t>
  </si>
  <si>
    <r>
      <t xml:space="preserve">Q5.5.Has a great fragrance </t>
    </r>
    <r>
      <rPr>
        <b/>
        <sz val="9"/>
        <color indexed="13"/>
        <rFont val="Arial"/>
        <family val="2"/>
      </rPr>
      <t>M.S</t>
    </r>
  </si>
  <si>
    <r>
      <t xml:space="preserve">Q5.6. Gives me the impression it would not cause skin irritation  </t>
    </r>
    <r>
      <rPr>
        <b/>
        <sz val="9"/>
        <color indexed="13"/>
        <rFont val="Arial"/>
        <family val="2"/>
      </rPr>
      <t>M.S</t>
    </r>
  </si>
  <si>
    <r>
      <t>Q5.7. It will leave a long lasting fragrance on my clothes</t>
    </r>
    <r>
      <rPr>
        <b/>
        <sz val="9"/>
        <color indexed="13"/>
        <rFont val="Arial"/>
        <family val="2"/>
      </rPr>
      <t>M.S</t>
    </r>
  </si>
  <si>
    <r>
      <t>Q6 Attributes</t>
    </r>
    <r>
      <rPr>
        <b/>
        <sz val="9"/>
        <color indexed="13"/>
        <rFont val="Arial"/>
        <family val="2"/>
      </rPr>
      <t xml:space="preserve"> (% Yes)</t>
    </r>
  </si>
  <si>
    <t>01)         Artificial/Chemical</t>
  </si>
  <si>
    <t>02)         Healthy</t>
  </si>
  <si>
    <t>03)         Beautiful</t>
  </si>
  <si>
    <t>04)         Heavy</t>
  </si>
  <si>
    <t>05)         Rejuvenating</t>
  </si>
  <si>
    <t>06)         Cheap</t>
  </si>
  <si>
    <t>07)         Innocent</t>
  </si>
  <si>
    <t>08)         Clean</t>
  </si>
  <si>
    <t>d</t>
  </si>
  <si>
    <t xml:space="preserve">09)         Indulgent  </t>
  </si>
  <si>
    <t>10)      Luxurious/rich</t>
  </si>
  <si>
    <t>11)      Light/mild</t>
  </si>
  <si>
    <t>12)      Elegant</t>
  </si>
  <si>
    <t>13)      Makes me feel good</t>
  </si>
  <si>
    <t>14)      Sophisticated</t>
  </si>
  <si>
    <t>15)      Feminine</t>
  </si>
  <si>
    <t>b f</t>
  </si>
  <si>
    <t>16)      Masculine</t>
  </si>
  <si>
    <t>i</t>
  </si>
  <si>
    <t>17)      Sporty/Athletic</t>
  </si>
  <si>
    <t>18)      Fresh</t>
  </si>
  <si>
    <t>19)      Natural</t>
  </si>
  <si>
    <t>20)      High quality</t>
  </si>
  <si>
    <t>21)      Harsh/Chemical</t>
  </si>
  <si>
    <t>22)      Old-fashioned</t>
  </si>
  <si>
    <t>23)      For whole family</t>
  </si>
  <si>
    <t>24)      Nourishing / caring</t>
  </si>
  <si>
    <t>25)      Addictive</t>
  </si>
  <si>
    <t>26)      Glamorous</t>
  </si>
  <si>
    <t>27)      Outdoor</t>
  </si>
  <si>
    <t>28)      Affectionate / Loving</t>
  </si>
  <si>
    <t>29)      Medicinal /Therapeutic</t>
  </si>
  <si>
    <t>30)      Premium</t>
  </si>
  <si>
    <t>31)      Antibacterial/Disinfecting</t>
  </si>
  <si>
    <t>32)      Modern</t>
  </si>
  <si>
    <t>33)      Pure</t>
  </si>
  <si>
    <t>h</t>
  </si>
  <si>
    <t>34)      Airy / Breezy</t>
  </si>
  <si>
    <t>g</t>
  </si>
  <si>
    <t>35)      New / never smelled before</t>
  </si>
  <si>
    <t>36)      Trendy</t>
  </si>
  <si>
    <t>37)      Classic</t>
  </si>
  <si>
    <t>38)      Nostalgic / memorable</t>
  </si>
  <si>
    <t>39)      Youthful</t>
  </si>
  <si>
    <t>40)      Confident</t>
  </si>
  <si>
    <t>41)      Distinctive / Unique</t>
  </si>
  <si>
    <t>42)      Familiar</t>
  </si>
  <si>
    <t>Q.7 Olfactive association (% Yes)</t>
  </si>
  <si>
    <t>Baby powder</t>
  </si>
  <si>
    <t>E I</t>
  </si>
  <si>
    <t>Bleach</t>
  </si>
  <si>
    <t xml:space="preserve">Botanical </t>
  </si>
  <si>
    <t>Chemical / harsh</t>
  </si>
  <si>
    <t>Citrusy</t>
  </si>
  <si>
    <t>Cool</t>
  </si>
  <si>
    <t>Creamy</t>
  </si>
  <si>
    <t>Dry</t>
  </si>
  <si>
    <t>Earthy</t>
  </si>
  <si>
    <t>Edible / Yummy</t>
  </si>
  <si>
    <t>Floral</t>
  </si>
  <si>
    <t>Fresh air</t>
  </si>
  <si>
    <t>Fruity</t>
  </si>
  <si>
    <t>Green</t>
  </si>
  <si>
    <t>Herbal</t>
  </si>
  <si>
    <t>Juicy</t>
  </si>
  <si>
    <t>Musty</t>
  </si>
  <si>
    <t>Natural outdoors</t>
  </si>
  <si>
    <t>B c</t>
  </si>
  <si>
    <t>Oily</t>
  </si>
  <si>
    <t xml:space="preserve">Pine </t>
  </si>
  <si>
    <t>Powdery (detergent powder)</t>
  </si>
  <si>
    <t>Perfumy</t>
  </si>
  <si>
    <t>Sea / Marine</t>
  </si>
  <si>
    <t>Soapy (laundry bar)</t>
  </si>
  <si>
    <t>Soapy (bar soap)</t>
  </si>
  <si>
    <t>a j</t>
  </si>
  <si>
    <t>Spicy</t>
  </si>
  <si>
    <t>Sweet</t>
  </si>
  <si>
    <t>Sweet sticky</t>
  </si>
  <si>
    <t>Warm / Comfortable</t>
  </si>
  <si>
    <t>Watery</t>
  </si>
  <si>
    <t>Woody</t>
  </si>
  <si>
    <t xml:space="preserve">Airy </t>
  </si>
  <si>
    <t xml:space="preserve">Minty </t>
  </si>
  <si>
    <t>Vanilla</t>
  </si>
  <si>
    <t>Others (pls specify)</t>
  </si>
  <si>
    <t>Q.8 Product Benefit (% Yes)</t>
  </si>
  <si>
    <t>1 Long lasting fragrance</t>
  </si>
  <si>
    <t>2  Strong scents</t>
  </si>
  <si>
    <t xml:space="preserve">3 Extra Soft / caring </t>
  </si>
  <si>
    <t>4. Super clean efficacy</t>
  </si>
  <si>
    <t>5. Extra Stain remover effect</t>
  </si>
  <si>
    <t>6.  Extra Whitening</t>
  </si>
  <si>
    <t>7. Fresher scent</t>
  </si>
  <si>
    <t>8. Extra Softening effect</t>
  </si>
  <si>
    <t>9.Malodor elimination</t>
  </si>
  <si>
    <t>10.Fragrance booster</t>
  </si>
  <si>
    <t>11.Color clothes protection</t>
  </si>
  <si>
    <t>12. Environment protection</t>
  </si>
  <si>
    <t>13.Skin protection</t>
  </si>
  <si>
    <t xml:space="preserve">14.Protect/keep shape on clothes </t>
  </si>
  <si>
    <t>15. Easy ironing</t>
  </si>
  <si>
    <t>16. Fast ironing</t>
  </si>
  <si>
    <t>17 Disinfectant /antibacterial effect on clothes</t>
  </si>
  <si>
    <t>18. Anti-wrinkle</t>
  </si>
  <si>
    <t>19 Anti-shrinking</t>
  </si>
  <si>
    <t>20 Extra Brightening clothes</t>
  </si>
  <si>
    <t>21 Anti-mold fungus</t>
  </si>
  <si>
    <t>22 Fast dry clothes</t>
  </si>
  <si>
    <t>23 Gentle on clothes</t>
  </si>
  <si>
    <t>24 Easy rinse detergent</t>
  </si>
  <si>
    <t>25 Kill bacteria</t>
  </si>
  <si>
    <t>26 Long lasting freshness</t>
  </si>
  <si>
    <t>27 Other</t>
  </si>
  <si>
    <t>28 None</t>
  </si>
  <si>
    <t>Q.9Moods (% Yes)</t>
  </si>
  <si>
    <t>□ Happy, Pleased, Delighted (8)</t>
  </si>
  <si>
    <t>□ Calm, Relaxed, Tranquil (7)</t>
  </si>
  <si>
    <t>□ Sensuous, Romantic, Sexy (6)</t>
  </si>
  <si>
    <t>F h</t>
  </si>
  <si>
    <t>□  Stimulated, Lively, Excited (5)</t>
  </si>
  <si>
    <t>□ Apathetic, Dull, Sluggish (4)</t>
  </si>
  <si>
    <t>□ Sad, Gloomy, Depressed (3)</t>
  </si>
  <si>
    <t>□ Irritated, Frustrated, Agitated (2)</t>
  </si>
  <si>
    <t>□ Tense, Anxious, Stressed (1)</t>
  </si>
  <si>
    <t>Magic Column</t>
  </si>
  <si>
    <t>Paste Template vào Sheet Output</t>
  </si>
  <si>
    <t>Sau khi Macro xử lý xong, nhận Data ở Sheet Output</t>
  </si>
  <si>
    <t>(A)</t>
  </si>
  <si>
    <t>(B)</t>
  </si>
  <si>
    <t>(C)</t>
  </si>
  <si>
    <t>(D)</t>
  </si>
  <si>
    <t>(E)</t>
  </si>
  <si>
    <t>(F)</t>
  </si>
  <si>
    <t>(G)</t>
  </si>
  <si>
    <t>(H)</t>
  </si>
  <si>
    <t>(I)</t>
  </si>
  <si>
    <t>(J)</t>
  </si>
  <si>
    <t/>
  </si>
  <si>
    <t>B C</t>
  </si>
  <si>
    <r>
      <t xml:space="preserve">Dán </t>
    </r>
    <r>
      <rPr>
        <b/>
        <sz val="11"/>
        <color theme="1"/>
        <rFont val="Calibri"/>
        <family val="2"/>
        <scheme val="minor"/>
      </rPr>
      <t>kết quả Sig Test</t>
    </r>
    <r>
      <rPr>
        <sz val="11"/>
        <color theme="1"/>
        <rFont val="Calibri"/>
        <family val="2"/>
        <scheme val="minor"/>
      </rPr>
      <t xml:space="preserve"> vào Sheet Sig Test theo mẫu</t>
    </r>
  </si>
  <si>
    <r>
      <t xml:space="preserve">Dán </t>
    </r>
    <r>
      <rPr>
        <b/>
        <sz val="11"/>
        <color theme="1"/>
        <rFont val="Calibri"/>
        <family val="2"/>
        <scheme val="minor"/>
      </rPr>
      <t xml:space="preserve">Data </t>
    </r>
    <r>
      <rPr>
        <sz val="11"/>
        <color theme="1"/>
        <rFont val="Calibri"/>
        <family val="2"/>
        <scheme val="minor"/>
      </rPr>
      <t>xuất ra từ SPSS vào Sheet Data theo mẫu</t>
    </r>
  </si>
  <si>
    <t>Cột đầu tiên chứa Data ở Sheet Output</t>
  </si>
  <si>
    <t>cột cuối cùng chứa data ở sheet output</t>
  </si>
  <si>
    <t>dòng đầu tiên chứa data ở sheet output</t>
  </si>
  <si>
    <t>dòng cuối cùng chứa data ở sheet output</t>
  </si>
  <si>
    <t>cột đầu tiên chứa data ở sheet data</t>
  </si>
  <si>
    <t>cột cuối cùng chứa data ở sheet data</t>
  </si>
  <si>
    <t>dòng đầu tiên chứa data ở sheet data</t>
  </si>
  <si>
    <t>dòng cuối cùng chứa data ở sheet data</t>
  </si>
  <si>
    <t>cột đầu tiên chứa data ở sheet sig test</t>
  </si>
  <si>
    <t>cột cuối cùng chứa data ở sheet sig test</t>
  </si>
  <si>
    <t>dòng đầu tiên chứa data ở sheet sig test</t>
  </si>
  <si>
    <t>dòng cuối cùng chứa data ở sheet sig test</t>
  </si>
  <si>
    <t>e f</t>
  </si>
  <si>
    <t>e j</t>
  </si>
  <si>
    <t>Nhớ clear sạch Phần nội dung chứa Data (chừa phần Template và cột A của mỗi Sheet lại nếu Template không thay đổi) trước khi chạy Macro nhé</t>
  </si>
  <si>
    <t>B F</t>
  </si>
  <si>
    <t>c f</t>
  </si>
  <si>
    <t>a b</t>
  </si>
  <si>
    <t>c i</t>
  </si>
  <si>
    <t>B f</t>
  </si>
  <si>
    <t>A F H</t>
  </si>
  <si>
    <t>E f</t>
  </si>
  <si>
    <t>A B J</t>
  </si>
  <si>
    <t>C F</t>
  </si>
  <si>
    <t>D F G</t>
  </si>
  <si>
    <t>G J</t>
  </si>
  <si>
    <t>B C D E G</t>
  </si>
  <si>
    <t>a b j</t>
  </si>
  <si>
    <t>d f g</t>
  </si>
  <si>
    <t>e i</t>
  </si>
  <si>
    <t>B D E F</t>
  </si>
  <si>
    <t>A B C D E F G H</t>
  </si>
  <si>
    <t>A B D E F H</t>
  </si>
  <si>
    <t>d E F h</t>
  </si>
  <si>
    <t>A B d e</t>
  </si>
  <si>
    <t>A B c D E F G H I</t>
  </si>
  <si>
    <t>c F</t>
  </si>
  <si>
    <t>B D e F</t>
  </si>
  <si>
    <t>a b C D E F g h</t>
  </si>
  <si>
    <t>A B c D F G</t>
  </si>
  <si>
    <t>c e f j</t>
  </si>
  <si>
    <t>e G</t>
  </si>
  <si>
    <t>C h I J</t>
  </si>
  <si>
    <t>C i j</t>
  </si>
  <si>
    <t>a C D E</t>
  </si>
  <si>
    <t>c d h</t>
  </si>
  <si>
    <t>a i</t>
  </si>
  <si>
    <t>a D G</t>
  </si>
  <si>
    <t>b d</t>
  </si>
  <si>
    <t>f g</t>
  </si>
  <si>
    <t>A b d E h</t>
  </si>
  <si>
    <t>E f h</t>
  </si>
  <si>
    <t>c G i</t>
  </si>
  <si>
    <t>B c e f</t>
  </si>
  <si>
    <t>E F h</t>
  </si>
  <si>
    <t>A B c i</t>
  </si>
  <si>
    <t>a h</t>
  </si>
  <si>
    <t>a g</t>
  </si>
  <si>
    <t>A B D e f H</t>
  </si>
  <si>
    <t>d e F H i</t>
  </si>
  <si>
    <t>b h</t>
  </si>
  <si>
    <t>a e h</t>
  </si>
  <si>
    <t>a d</t>
  </si>
  <si>
    <t>a D</t>
  </si>
  <si>
    <t>a d f g</t>
  </si>
  <si>
    <t>B c E g</t>
  </si>
  <si>
    <t>a D e G h J</t>
  </si>
  <si>
    <t>G j</t>
  </si>
  <si>
    <t>a c i</t>
  </si>
  <si>
    <t>A C D E f I</t>
  </si>
  <si>
    <t>C g</t>
  </si>
  <si>
    <t>B e F</t>
  </si>
  <si>
    <t>a d f</t>
  </si>
  <si>
    <t>Q1 Mui huong noi chung - Mui huong 1 (574/745/475)</t>
  </si>
  <si>
    <t>Q1b Nhan dinh - Mui huong 1 (574/745/475)</t>
  </si>
  <si>
    <t>Q2 Do manh cua mui huong bot giat nay - Mui huong 1 (574/745/475)</t>
  </si>
  <si>
    <t>Q3 Danh gia chung ve do manh mui huong - Mui huong 1 (574/745/475)</t>
  </si>
  <si>
    <t>Q4 So sanh voi loai dang dung - Mui huong 1 (574/745/475)</t>
  </si>
  <si>
    <t>Q5 Muc do dong y - Mui huong 1 (574/745/475) - R1.</t>
  </si>
  <si>
    <t>Q5 Muc do dong y - Mui huong 1 (574/745/475) - R2.</t>
  </si>
  <si>
    <t>Q5 Muc do dong y - Mui huong 1 (574/745/475) - R3.</t>
  </si>
  <si>
    <t>Q5 Muc do dong y - Mui huong 1 (574/745/475) - R4.</t>
  </si>
  <si>
    <t>Q5 Muc do dong y - Mui huong 1 (574/745/475) - R5.</t>
  </si>
  <si>
    <t>Q5 Muc do dong y - Mui huong 1 (574/745/475) - R6.</t>
  </si>
  <si>
    <t>Q5 Muc do dong y - Mui huong 1 (574/745/475) - R7.</t>
  </si>
  <si>
    <t>A B F</t>
  </si>
  <si>
    <t>Sheet chứa Output cần bổ sung</t>
  </si>
  <si>
    <t>Workbook chứa Output cần bổ sung</t>
  </si>
  <si>
    <t>Topline - Deliport VN vs BM - Soak stage (Khu vuc &amp; Cach giat).xlsx</t>
  </si>
  <si>
    <t>All Omo all variants hand wash</t>
  </si>
  <si>
    <t>Win</t>
  </si>
  <si>
    <t>Lose</t>
  </si>
  <si>
    <t>Product dùng để Benchmark</t>
  </si>
  <si>
    <t>A*</t>
  </si>
  <si>
    <t>A* B* c D* E* F* g H*</t>
  </si>
  <si>
    <t>A* b c d e F* g H*</t>
  </si>
  <si>
    <t>a B* c D* E* F* g h</t>
  </si>
  <si>
    <t>A* B* c d e F* g h</t>
  </si>
  <si>
    <t>a b c d e F* g h</t>
  </si>
  <si>
    <t>a b c D* e f g h</t>
  </si>
  <si>
    <t>A* B* C* D* E* F* G* H*</t>
  </si>
  <si>
    <t>A* b c d e f g h</t>
  </si>
  <si>
    <t>a b c d E F* 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</si>
</sst>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##0.0%"/>
    <numFmt numFmtId="165" formatCode="0.0%"/>
    <numFmt numFmtId="166" formatCode="#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6"/>
      <color rgb="FF00B0F0"/>
      <name val="Calibri"/>
      <family val="2"/>
      <scheme val="minor"/>
    </font>
    <font>
      <sz val="8"/>
      <color indexed="9"/>
      <name val="Arial"/>
      <family val="2"/>
    </font>
    <font>
      <b/>
      <sz val="8"/>
      <name val="Arial"/>
      <family val="2"/>
      <charset val="163"/>
    </font>
    <font>
      <sz val="8"/>
      <name val="Arial"/>
      <family val="2"/>
      <charset val="163"/>
    </font>
    <font>
      <sz val="9"/>
      <color indexed="9"/>
      <name val="Arial"/>
      <family val="2"/>
    </font>
    <font>
      <b/>
      <sz val="9"/>
      <color indexed="13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theme="5"/>
      <name val="Arial"/>
      <family val="2"/>
    </font>
    <font>
      <b/>
      <sz val="9"/>
      <color indexed="9"/>
      <name val="Arial"/>
      <family val="2"/>
    </font>
    <font>
      <sz val="8"/>
      <name val="Times New Roman"/>
      <family val="1"/>
    </font>
    <font>
      <sz val="9"/>
      <color indexed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9"/>
      <color rgb="FF00B0F0"/>
      <name val="Arial"/>
      <family val="2"/>
    </font>
    <font>
      <b/>
      <sz val="9"/>
      <color rgb="FFFFFF00"/>
      <name val="Arial"/>
      <family val="2"/>
    </font>
    <font>
      <b/>
      <sz val="11"/>
      <color rgb="FFFFFF0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55"/>
      </patternFill>
    </fill>
    <fill>
      <patternFill patternType="solid">
        <fgColor rgb="FF92D05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45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0">
    <xf numFmtId="0" fontId="0" fillId="0" borderId="0" xfId="0"/>
    <xf numFmtId="0" fontId="3" fillId="0" borderId="8" xfId="9" applyFont="1" applyFill="1" applyBorder="1" applyAlignment="1">
      <alignment horizontal="center" wrapText="1"/>
    </xf>
    <xf numFmtId="0" fontId="3" fillId="0" borderId="9" xfId="10" applyFont="1" applyFill="1" applyBorder="1" applyAlignment="1">
      <alignment horizontal="center" wrapText="1"/>
    </xf>
    <xf numFmtId="0" fontId="3" fillId="0" borderId="10" xfId="11" applyFont="1" applyFill="1" applyBorder="1" applyAlignment="1">
      <alignment horizontal="center" wrapText="1"/>
    </xf>
    <xf numFmtId="0" fontId="3" fillId="0" borderId="13" xfId="14" applyFont="1" applyFill="1" applyBorder="1" applyAlignment="1">
      <alignment horizontal="center" wrapText="1"/>
    </xf>
    <xf numFmtId="0" fontId="3" fillId="0" borderId="14" xfId="15" applyFont="1" applyFill="1" applyBorder="1" applyAlignment="1">
      <alignment horizontal="center" wrapText="1"/>
    </xf>
    <xf numFmtId="0" fontId="3" fillId="0" borderId="15" xfId="16" applyFont="1" applyFill="1" applyBorder="1" applyAlignment="1">
      <alignment horizontal="center" wrapText="1"/>
    </xf>
    <xf numFmtId="164" fontId="3" fillId="0" borderId="19" xfId="24" applyNumberFormat="1" applyFont="1" applyFill="1" applyBorder="1" applyAlignment="1">
      <alignment horizontal="right" vertical="center"/>
    </xf>
    <xf numFmtId="164" fontId="3" fillId="0" borderId="20" xfId="25" applyNumberFormat="1" applyFont="1" applyFill="1" applyBorder="1" applyAlignment="1">
      <alignment horizontal="right" vertical="center"/>
    </xf>
    <xf numFmtId="164" fontId="3" fillId="0" borderId="21" xfId="26" applyNumberFormat="1" applyFont="1" applyFill="1" applyBorder="1" applyAlignment="1">
      <alignment horizontal="right" vertical="center"/>
    </xf>
    <xf numFmtId="164" fontId="3" fillId="0" borderId="22" xfId="30" applyNumberFormat="1" applyFont="1" applyFill="1" applyBorder="1" applyAlignment="1">
      <alignment horizontal="right" vertical="center"/>
    </xf>
    <xf numFmtId="164" fontId="3" fillId="0" borderId="23" xfId="31" applyNumberFormat="1" applyFont="1" applyFill="1" applyBorder="1" applyAlignment="1">
      <alignment horizontal="right" vertical="center"/>
    </xf>
    <xf numFmtId="164" fontId="3" fillId="0" borderId="24" xfId="32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5" fillId="3" borderId="25" xfId="0" applyFont="1" applyFill="1" applyBorder="1" applyAlignment="1">
      <alignment horizontal="left" vertical="center" wrapText="1"/>
    </xf>
    <xf numFmtId="0" fontId="6" fillId="4" borderId="26" xfId="0" applyFont="1" applyFill="1" applyBorder="1" applyAlignment="1">
      <alignment vertical="center" wrapText="1"/>
    </xf>
    <xf numFmtId="0" fontId="7" fillId="4" borderId="26" xfId="0" applyFont="1" applyFill="1" applyBorder="1" applyAlignment="1">
      <alignment vertical="center" wrapText="1"/>
    </xf>
    <xf numFmtId="0" fontId="8" fillId="5" borderId="25" xfId="0" applyFont="1" applyFill="1" applyBorder="1" applyAlignment="1">
      <alignment horizontal="left" vertical="center" wrapText="1"/>
    </xf>
    <xf numFmtId="165" fontId="10" fillId="6" borderId="26" xfId="1" applyNumberFormat="1" applyFont="1" applyFill="1" applyBorder="1"/>
    <xf numFmtId="0" fontId="11" fillId="5" borderId="25" xfId="0" applyFont="1" applyFill="1" applyBorder="1" applyAlignment="1">
      <alignment horizontal="left" vertical="center" wrapText="1"/>
    </xf>
    <xf numFmtId="9" fontId="10" fillId="0" borderId="25" xfId="1" applyFont="1" applyBorder="1" applyAlignment="1">
      <alignment horizontal="left" vertical="center" wrapText="1"/>
    </xf>
    <xf numFmtId="165" fontId="10" fillId="0" borderId="26" xfId="1" applyNumberFormat="1" applyFont="1" applyBorder="1"/>
    <xf numFmtId="0" fontId="10" fillId="7" borderId="25" xfId="0" applyFont="1" applyFill="1" applyBorder="1" applyAlignment="1">
      <alignment horizontal="left" vertical="center" wrapText="1"/>
    </xf>
    <xf numFmtId="0" fontId="11" fillId="7" borderId="25" xfId="0" applyFont="1" applyFill="1" applyBorder="1" applyAlignment="1">
      <alignment horizontal="left" vertical="center" wrapText="1"/>
    </xf>
    <xf numFmtId="0" fontId="10" fillId="7" borderId="27" xfId="0" applyFont="1" applyFill="1" applyBorder="1" applyAlignment="1">
      <alignment horizontal="left" vertical="center" wrapText="1"/>
    </xf>
    <xf numFmtId="9" fontId="10" fillId="0" borderId="28" xfId="1" applyFont="1" applyBorder="1" applyAlignment="1">
      <alignment horizontal="left" vertical="center" wrapText="1"/>
    </xf>
    <xf numFmtId="2" fontId="10" fillId="0" borderId="26" xfId="0" applyNumberFormat="1" applyFont="1" applyFill="1" applyBorder="1" applyAlignment="1">
      <alignment horizontal="center" vertical="center" wrapText="1"/>
    </xf>
    <xf numFmtId="0" fontId="10" fillId="0" borderId="29" xfId="33" applyFont="1" applyBorder="1" applyAlignment="1">
      <alignment vertical="center" wrapText="1"/>
    </xf>
    <xf numFmtId="0" fontId="10" fillId="0" borderId="30" xfId="33" applyFont="1" applyBorder="1" applyAlignment="1">
      <alignment vertical="center" wrapText="1"/>
    </xf>
    <xf numFmtId="0" fontId="10" fillId="0" borderId="31" xfId="33" applyFont="1" applyBorder="1" applyAlignment="1">
      <alignment vertical="center" wrapText="1"/>
    </xf>
    <xf numFmtId="0" fontId="10" fillId="0" borderId="32" xfId="33" applyFont="1" applyBorder="1" applyAlignment="1">
      <alignment vertical="center" wrapText="1"/>
    </xf>
    <xf numFmtId="0" fontId="10" fillId="0" borderId="32" xfId="33" applyFont="1" applyBorder="1" applyAlignment="1">
      <alignment vertical="center"/>
    </xf>
    <xf numFmtId="0" fontId="14" fillId="0" borderId="0" xfId="33" applyFont="1" applyBorder="1" applyAlignment="1">
      <alignment vertical="center" wrapText="1"/>
    </xf>
    <xf numFmtId="9" fontId="15" fillId="0" borderId="26" xfId="1" applyFont="1" applyFill="1" applyBorder="1" applyAlignment="1">
      <alignment horizontal="right" vertical="top"/>
    </xf>
    <xf numFmtId="9" fontId="10" fillId="0" borderId="26" xfId="1" applyFont="1" applyFill="1" applyBorder="1" applyAlignment="1">
      <alignment horizontal="center" vertical="center" wrapText="1"/>
    </xf>
    <xf numFmtId="9" fontId="8" fillId="0" borderId="26" xfId="1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left" vertical="center" wrapText="1"/>
    </xf>
    <xf numFmtId="9" fontId="10" fillId="0" borderId="26" xfId="0" applyNumberFormat="1" applyFont="1" applyFill="1" applyBorder="1" applyAlignment="1">
      <alignment horizontal="center" vertical="center" wrapText="1"/>
    </xf>
    <xf numFmtId="0" fontId="16" fillId="0" borderId="29" xfId="33" applyFont="1" applyBorder="1" applyAlignment="1">
      <alignment vertical="center" wrapText="1"/>
    </xf>
    <xf numFmtId="0" fontId="16" fillId="0" borderId="30" xfId="33" applyFont="1" applyBorder="1" applyAlignment="1">
      <alignment vertical="center" wrapText="1"/>
    </xf>
    <xf numFmtId="0" fontId="16" fillId="0" borderId="31" xfId="33" applyFont="1" applyBorder="1" applyAlignment="1">
      <alignment vertical="center" wrapText="1"/>
    </xf>
    <xf numFmtId="0" fontId="16" fillId="0" borderId="32" xfId="33" applyFont="1" applyBorder="1" applyAlignment="1">
      <alignment vertical="center" wrapText="1"/>
    </xf>
    <xf numFmtId="9" fontId="15" fillId="0" borderId="26" xfId="0" applyNumberFormat="1" applyFont="1" applyFill="1" applyBorder="1"/>
    <xf numFmtId="0" fontId="16" fillId="0" borderId="0" xfId="33" applyFont="1" applyBorder="1" applyAlignment="1">
      <alignment vertical="center" wrapText="1"/>
    </xf>
    <xf numFmtId="0" fontId="16" fillId="0" borderId="29" xfId="0" applyFont="1" applyBorder="1" applyAlignment="1">
      <alignment vertical="center" wrapText="1"/>
    </xf>
    <xf numFmtId="0" fontId="16" fillId="0" borderId="30" xfId="0" applyFont="1" applyBorder="1" applyAlignment="1">
      <alignment vertical="center" wrapText="1"/>
    </xf>
    <xf numFmtId="0" fontId="16" fillId="0" borderId="31" xfId="0" applyFont="1" applyBorder="1" applyAlignment="1">
      <alignment vertical="center" wrapText="1"/>
    </xf>
    <xf numFmtId="0" fontId="16" fillId="0" borderId="32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9" fontId="15" fillId="0" borderId="26" xfId="1" applyFont="1" applyBorder="1" applyAlignment="1">
      <alignment horizontal="right" vertical="top"/>
    </xf>
    <xf numFmtId="0" fontId="17" fillId="0" borderId="33" xfId="0" applyFont="1" applyBorder="1" applyAlignment="1">
      <alignment horizontal="left" vertical="center" wrapText="1" indent="3"/>
    </xf>
    <xf numFmtId="0" fontId="17" fillId="0" borderId="34" xfId="0" applyFont="1" applyBorder="1" applyAlignment="1">
      <alignment horizontal="left" vertical="center" wrapText="1" indent="3"/>
    </xf>
    <xf numFmtId="0" fontId="17" fillId="0" borderId="35" xfId="0" applyFont="1" applyBorder="1" applyAlignment="1">
      <alignment horizontal="left" vertical="center" wrapText="1" indent="3"/>
    </xf>
    <xf numFmtId="0" fontId="17" fillId="0" borderId="36" xfId="0" applyFont="1" applyBorder="1" applyAlignment="1">
      <alignment horizontal="left" vertical="center" wrapText="1" indent="3"/>
    </xf>
    <xf numFmtId="0" fontId="17" fillId="0" borderId="32" xfId="0" applyFont="1" applyBorder="1" applyAlignment="1">
      <alignment horizontal="left" vertical="center" wrapText="1" indent="3"/>
    </xf>
    <xf numFmtId="0" fontId="17" fillId="0" borderId="37" xfId="0" applyFont="1" applyBorder="1" applyAlignment="1">
      <alignment horizontal="left" vertical="center" wrapText="1" indent="3"/>
    </xf>
    <xf numFmtId="0" fontId="21" fillId="2" borderId="7" xfId="0" applyFont="1" applyFill="1" applyBorder="1" applyAlignment="1">
      <alignment horizontal="center" vertical="center"/>
    </xf>
    <xf numFmtId="0" fontId="20" fillId="8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15" xfId="72" applyFont="1" applyFill="1" applyBorder="1" applyAlignment="1">
      <alignment horizontal="center" vertical="center" wrapText="1"/>
    </xf>
    <xf numFmtId="0" fontId="3" fillId="0" borderId="14" xfId="71" applyFont="1" applyFill="1" applyBorder="1" applyAlignment="1">
      <alignment horizontal="center" vertical="center" wrapText="1"/>
    </xf>
    <xf numFmtId="0" fontId="3" fillId="0" borderId="13" xfId="70" applyFont="1" applyFill="1" applyBorder="1" applyAlignment="1">
      <alignment horizontal="center" vertical="center" wrapText="1"/>
    </xf>
    <xf numFmtId="0" fontId="3" fillId="0" borderId="15" xfId="16" applyFont="1" applyFill="1" applyBorder="1" applyAlignment="1">
      <alignment horizontal="center" vertical="center" wrapText="1"/>
    </xf>
    <xf numFmtId="0" fontId="3" fillId="0" borderId="14" xfId="15" applyFont="1" applyFill="1" applyBorder="1" applyAlignment="1">
      <alignment horizontal="center" vertical="center" wrapText="1"/>
    </xf>
    <xf numFmtId="0" fontId="3" fillId="0" borderId="13" xfId="14" applyFont="1" applyFill="1" applyBorder="1" applyAlignment="1">
      <alignment horizontal="center" vertical="center" wrapText="1"/>
    </xf>
    <xf numFmtId="0" fontId="3" fillId="0" borderId="10" xfId="69" applyFont="1" applyFill="1" applyBorder="1" applyAlignment="1">
      <alignment horizontal="center" vertical="center" wrapText="1"/>
    </xf>
    <xf numFmtId="0" fontId="3" fillId="0" borderId="9" xfId="68" applyFont="1" applyFill="1" applyBorder="1" applyAlignment="1">
      <alignment horizontal="center" vertical="center" wrapText="1"/>
    </xf>
    <xf numFmtId="0" fontId="3" fillId="0" borderId="8" xfId="67" applyFont="1" applyFill="1" applyBorder="1" applyAlignment="1">
      <alignment horizontal="center" vertical="center" wrapText="1"/>
    </xf>
    <xf numFmtId="0" fontId="3" fillId="0" borderId="10" xfId="11" applyFont="1" applyFill="1" applyBorder="1" applyAlignment="1">
      <alignment horizontal="center" vertical="center" wrapText="1"/>
    </xf>
    <xf numFmtId="0" fontId="3" fillId="0" borderId="9" xfId="10" applyFont="1" applyFill="1" applyBorder="1" applyAlignment="1">
      <alignment horizontal="center" vertical="center" wrapText="1"/>
    </xf>
    <xf numFmtId="0" fontId="3" fillId="0" borderId="8" xfId="9" applyFont="1" applyFill="1" applyBorder="1" applyAlignment="1">
      <alignment horizontal="center" vertical="center" wrapText="1"/>
    </xf>
    <xf numFmtId="0" fontId="0" fillId="0" borderId="0" xfId="0"/>
    <xf numFmtId="0" fontId="3" fillId="0" borderId="19" xfId="87" applyFont="1" applyFill="1" applyBorder="1" applyAlignment="1">
      <alignment horizontal="left" vertical="center" wrapText="1"/>
    </xf>
    <xf numFmtId="0" fontId="3" fillId="0" borderId="20" xfId="88" applyFont="1" applyFill="1" applyBorder="1" applyAlignment="1">
      <alignment horizontal="left" vertical="center" wrapText="1"/>
    </xf>
    <xf numFmtId="0" fontId="3" fillId="0" borderId="21" xfId="89" applyFont="1" applyFill="1" applyBorder="1" applyAlignment="1">
      <alignment horizontal="left" vertical="center" wrapText="1"/>
    </xf>
    <xf numFmtId="0" fontId="3" fillId="0" borderId="22" xfId="90" applyFont="1" applyFill="1" applyBorder="1" applyAlignment="1">
      <alignment horizontal="left" vertical="center" wrapText="1"/>
    </xf>
    <xf numFmtId="0" fontId="3" fillId="0" borderId="23" xfId="91" applyFont="1" applyFill="1" applyBorder="1" applyAlignment="1">
      <alignment horizontal="left" vertical="center" wrapText="1"/>
    </xf>
    <xf numFmtId="0" fontId="3" fillId="0" borderId="24" xfId="92" applyFont="1" applyFill="1" applyBorder="1" applyAlignment="1">
      <alignment horizontal="left" vertical="center" wrapText="1"/>
    </xf>
    <xf numFmtId="0" fontId="3" fillId="0" borderId="41" xfId="94" applyFont="1" applyFill="1" applyBorder="1" applyAlignment="1">
      <alignment horizontal="left" vertical="top" wrapText="1"/>
    </xf>
    <xf numFmtId="166" fontId="3" fillId="0" borderId="16" xfId="95" applyNumberFormat="1" applyFont="1" applyFill="1" applyBorder="1" applyAlignment="1">
      <alignment horizontal="right" vertical="center"/>
    </xf>
    <xf numFmtId="166" fontId="3" fillId="0" borderId="17" xfId="96" applyNumberFormat="1" applyFont="1" applyFill="1" applyBorder="1" applyAlignment="1">
      <alignment horizontal="right" vertical="center"/>
    </xf>
    <xf numFmtId="166" fontId="3" fillId="0" borderId="18" xfId="97" applyNumberFormat="1" applyFont="1" applyFill="1" applyBorder="1" applyAlignment="1">
      <alignment horizontal="right" vertical="center"/>
    </xf>
    <xf numFmtId="0" fontId="3" fillId="0" borderId="42" xfId="98" applyFont="1" applyFill="1" applyBorder="1" applyAlignment="1">
      <alignment horizontal="left" vertical="top" wrapText="1"/>
    </xf>
    <xf numFmtId="166" fontId="3" fillId="0" borderId="19" xfId="99" applyNumberFormat="1" applyFont="1" applyFill="1" applyBorder="1" applyAlignment="1">
      <alignment horizontal="right" vertical="center"/>
    </xf>
    <xf numFmtId="166" fontId="3" fillId="0" borderId="20" xfId="100" applyNumberFormat="1" applyFont="1" applyFill="1" applyBorder="1" applyAlignment="1">
      <alignment horizontal="right" vertical="center"/>
    </xf>
    <xf numFmtId="166" fontId="3" fillId="0" borderId="21" xfId="101" applyNumberFormat="1" applyFont="1" applyFill="1" applyBorder="1" applyAlignment="1">
      <alignment horizontal="right" vertical="center"/>
    </xf>
    <xf numFmtId="0" fontId="3" fillId="0" borderId="43" xfId="102" applyFont="1" applyFill="1" applyBorder="1" applyAlignment="1">
      <alignment horizontal="left" vertical="top" wrapText="1"/>
    </xf>
    <xf numFmtId="166" fontId="3" fillId="0" borderId="22" xfId="103" applyNumberFormat="1" applyFont="1" applyFill="1" applyBorder="1" applyAlignment="1">
      <alignment horizontal="right" vertical="center"/>
    </xf>
    <xf numFmtId="166" fontId="3" fillId="0" borderId="23" xfId="104" applyNumberFormat="1" applyFont="1" applyFill="1" applyBorder="1" applyAlignment="1">
      <alignment horizontal="right" vertical="center"/>
    </xf>
    <xf numFmtId="166" fontId="3" fillId="0" borderId="24" xfId="105" applyNumberFormat="1" applyFont="1" applyFill="1" applyBorder="1" applyAlignment="1">
      <alignment horizontal="right" vertical="center"/>
    </xf>
    <xf numFmtId="0" fontId="3" fillId="0" borderId="16" xfId="106" applyFont="1" applyFill="1" applyBorder="1" applyAlignment="1">
      <alignment horizontal="left" vertical="center" wrapText="1"/>
    </xf>
    <xf numFmtId="0" fontId="3" fillId="0" borderId="17" xfId="107" applyFont="1" applyFill="1" applyBorder="1" applyAlignment="1">
      <alignment horizontal="left" vertical="center" wrapText="1"/>
    </xf>
    <xf numFmtId="0" fontId="3" fillId="0" borderId="18" xfId="108" applyFont="1" applyFill="1" applyBorder="1" applyAlignment="1">
      <alignment horizontal="left" vertical="center" wrapText="1"/>
    </xf>
    <xf numFmtId="0" fontId="3" fillId="0" borderId="19" xfId="109" applyFont="1" applyFill="1" applyBorder="1" applyAlignment="1">
      <alignment horizontal="left" vertical="center" wrapText="1"/>
    </xf>
    <xf numFmtId="0" fontId="3" fillId="0" borderId="20" xfId="110" applyFont="1" applyFill="1" applyBorder="1" applyAlignment="1">
      <alignment horizontal="left" vertical="center" wrapText="1"/>
    </xf>
    <xf numFmtId="0" fontId="3" fillId="0" borderId="21" xfId="111" applyFont="1" applyFill="1" applyBorder="1" applyAlignment="1">
      <alignment horizontal="left" vertical="center" wrapText="1"/>
    </xf>
    <xf numFmtId="0" fontId="3" fillId="0" borderId="22" xfId="112" applyFont="1" applyFill="1" applyBorder="1" applyAlignment="1">
      <alignment horizontal="left" vertical="center" wrapText="1"/>
    </xf>
    <xf numFmtId="0" fontId="3" fillId="0" borderId="23" xfId="113" applyFont="1" applyFill="1" applyBorder="1" applyAlignment="1">
      <alignment horizontal="left" vertical="center" wrapText="1"/>
    </xf>
    <xf numFmtId="0" fontId="3" fillId="0" borderId="24" xfId="114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9" fontId="17" fillId="10" borderId="44" xfId="0" applyNumberFormat="1" applyFont="1" applyFill="1" applyBorder="1" applyAlignment="1">
      <alignment horizontal="center" vertical="center" wrapText="1"/>
    </xf>
    <xf numFmtId="9" fontId="24" fillId="9" borderId="26" xfId="0" applyNumberFormat="1" applyFont="1" applyFill="1" applyBorder="1" applyAlignment="1">
      <alignment horizontal="center" vertical="center" wrapText="1"/>
    </xf>
    <xf numFmtId="9" fontId="17" fillId="8" borderId="26" xfId="0" applyNumberFormat="1" applyFont="1" applyFill="1" applyBorder="1" applyAlignment="1">
      <alignment horizontal="center" vertical="center" wrapText="1"/>
    </xf>
    <xf numFmtId="9" fontId="17" fillId="10" borderId="26" xfId="0" applyNumberFormat="1" applyFont="1" applyFill="1" applyBorder="1" applyAlignment="1">
      <alignment horizontal="center" vertical="center" wrapText="1"/>
    </xf>
    <xf numFmtId="9" fontId="24" fillId="11" borderId="26" xfId="0" applyNumberFormat="1" applyFont="1" applyFill="1" applyBorder="1" applyAlignment="1">
      <alignment horizontal="center" vertical="center" wrapText="1"/>
    </xf>
    <xf numFmtId="9" fontId="17" fillId="2" borderId="26" xfId="0" applyNumberFormat="1" applyFont="1" applyFill="1" applyBorder="1" applyAlignment="1">
      <alignment horizontal="center" vertical="center" wrapText="1"/>
    </xf>
    <xf numFmtId="9" fontId="17" fillId="12" borderId="2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4" fillId="2" borderId="7" xfId="0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left" wrapText="1"/>
    </xf>
    <xf numFmtId="0" fontId="3" fillId="0" borderId="2" xfId="3" applyFont="1" applyFill="1" applyBorder="1" applyAlignment="1">
      <alignment horizontal="left" wrapText="1"/>
    </xf>
    <xf numFmtId="0" fontId="3" fillId="0" borderId="6" xfId="7" applyFont="1" applyFill="1" applyBorder="1" applyAlignment="1">
      <alignment horizontal="left" wrapText="1"/>
    </xf>
    <xf numFmtId="0" fontId="3" fillId="0" borderId="7" xfId="8" applyFont="1" applyFill="1" applyBorder="1" applyAlignment="1">
      <alignment horizontal="left" wrapText="1"/>
    </xf>
    <xf numFmtId="0" fontId="3" fillId="0" borderId="11" xfId="12" applyFont="1" applyFill="1" applyBorder="1" applyAlignment="1">
      <alignment horizontal="left" wrapText="1"/>
    </xf>
    <xf numFmtId="0" fontId="3" fillId="0" borderId="12" xfId="13" applyFont="1" applyFill="1" applyBorder="1" applyAlignment="1">
      <alignment horizontal="left" wrapText="1"/>
    </xf>
    <xf numFmtId="0" fontId="3" fillId="0" borderId="3" xfId="4" applyFont="1" applyFill="1" applyBorder="1" applyAlignment="1">
      <alignment horizontal="center" wrapText="1"/>
    </xf>
    <xf numFmtId="0" fontId="3" fillId="0" borderId="4" xfId="5" applyFont="1" applyFill="1" applyBorder="1" applyAlignment="1">
      <alignment horizontal="center" wrapText="1"/>
    </xf>
    <xf numFmtId="0" fontId="3" fillId="0" borderId="5" xfId="6" applyFont="1" applyFill="1" applyBorder="1" applyAlignment="1">
      <alignment horizontal="center" wrapText="1"/>
    </xf>
    <xf numFmtId="9" fontId="19" fillId="8" borderId="38" xfId="4" applyNumberFormat="1" applyFont="1" applyFill="1" applyBorder="1" applyAlignment="1">
      <alignment horizontal="center" vertical="center" wrapText="1"/>
    </xf>
    <xf numFmtId="0" fontId="19" fillId="8" borderId="39" xfId="5" applyFont="1" applyFill="1" applyBorder="1" applyAlignment="1">
      <alignment horizontal="center" vertical="center" wrapText="1"/>
    </xf>
    <xf numFmtId="0" fontId="19" fillId="8" borderId="40" xfId="6" applyFont="1" applyFill="1" applyBorder="1" applyAlignment="1">
      <alignment horizontal="center" vertical="center" wrapText="1"/>
    </xf>
    <xf numFmtId="9" fontId="18" fillId="13" borderId="38" xfId="4" applyNumberFormat="1" applyFont="1" applyFill="1" applyBorder="1" applyAlignment="1">
      <alignment horizontal="center" vertical="center" wrapText="1"/>
    </xf>
    <xf numFmtId="0" fontId="18" fillId="13" borderId="39" xfId="5" applyFont="1" applyFill="1" applyBorder="1" applyAlignment="1">
      <alignment horizontal="center" vertical="center" wrapText="1"/>
    </xf>
    <xf numFmtId="0" fontId="18" fillId="13" borderId="40" xfId="6" applyFont="1" applyFill="1" applyBorder="1" applyAlignment="1">
      <alignment horizontal="center" vertical="center" wrapText="1"/>
    </xf>
    <xf numFmtId="9" fontId="18" fillId="2" borderId="38" xfId="4" applyNumberFormat="1" applyFont="1" applyFill="1" applyBorder="1" applyAlignment="1">
      <alignment horizontal="center" vertical="center" wrapText="1"/>
    </xf>
    <xf numFmtId="0" fontId="18" fillId="2" borderId="39" xfId="5" applyFont="1" applyFill="1" applyBorder="1" applyAlignment="1">
      <alignment horizontal="center" vertical="center" wrapText="1"/>
    </xf>
    <xf numFmtId="0" fontId="18" fillId="2" borderId="40" xfId="6" applyFont="1" applyFill="1" applyBorder="1" applyAlignment="1">
      <alignment horizontal="center" vertical="center" wrapText="1"/>
    </xf>
  </cellXfs>
  <cellStyles count="124">
    <cellStyle name="Normal" xfId="0" builtinId="0"/>
    <cellStyle name="Normal 2" xfId="33"/>
    <cellStyle name="Percent" xfId="1" builtinId="5"/>
    <cellStyle name="style1412269228340" xfId="43"/>
    <cellStyle name="style1412269228384" xfId="44"/>
    <cellStyle name="style1412269228424" xfId="45"/>
    <cellStyle name="style1412269228455" xfId="46"/>
    <cellStyle name="style1412269228490" xfId="47"/>
    <cellStyle name="style1412269228525" xfId="48"/>
    <cellStyle name="style1412269228560" xfId="49"/>
    <cellStyle name="style1412269228597" xfId="50"/>
    <cellStyle name="style1412269228632" xfId="51"/>
    <cellStyle name="style1412269228672" xfId="52"/>
    <cellStyle name="style1412269228710" xfId="53"/>
    <cellStyle name="style1412269228746" xfId="54"/>
    <cellStyle name="style1412269228774" xfId="55"/>
    <cellStyle name="style1412269228801" xfId="56"/>
    <cellStyle name="style1412269228836" xfId="57"/>
    <cellStyle name="style1412269228878" xfId="58"/>
    <cellStyle name="style1412269228911" xfId="59"/>
    <cellStyle name="style1412269228938" xfId="60"/>
    <cellStyle name="style1412269228967" xfId="61"/>
    <cellStyle name="style1412269228995" xfId="62"/>
    <cellStyle name="style1412269229029" xfId="63"/>
    <cellStyle name="style1412269229066" xfId="64"/>
    <cellStyle name="style1412269229102" xfId="65"/>
    <cellStyle name="style1412269229139" xfId="66"/>
    <cellStyle name="style1412269229175" xfId="67"/>
    <cellStyle name="style1412269229211" xfId="68"/>
    <cellStyle name="style1412269229248" xfId="69"/>
    <cellStyle name="style1412269229283" xfId="70"/>
    <cellStyle name="style1412269229319" xfId="71"/>
    <cellStyle name="style1412269229356" xfId="72"/>
    <cellStyle name="style1412269229392" xfId="73"/>
    <cellStyle name="style1412269229421" xfId="74"/>
    <cellStyle name="style1412269229476" xfId="75"/>
    <cellStyle name="style1412269229514" xfId="76"/>
    <cellStyle name="style1412269229552" xfId="77"/>
    <cellStyle name="style1412269229588" xfId="78"/>
    <cellStyle name="style1412269229625" xfId="79"/>
    <cellStyle name="style1412269229661" xfId="80"/>
    <cellStyle name="style1412269229834" xfId="81"/>
    <cellStyle name="style1412269229873" xfId="82"/>
    <cellStyle name="style1412269229909" xfId="83"/>
    <cellStyle name="style1412269230113" xfId="84"/>
    <cellStyle name="style1412269230142" xfId="85"/>
    <cellStyle name="style1412269230171" xfId="86"/>
    <cellStyle name="style1412269230200" xfId="87"/>
    <cellStyle name="style1412269230230" xfId="88"/>
    <cellStyle name="style1412269230263" xfId="89"/>
    <cellStyle name="style1412269230426" xfId="90"/>
    <cellStyle name="style1412269230458" xfId="91"/>
    <cellStyle name="style1412269230487" xfId="92"/>
    <cellStyle name="style1412269230516" xfId="93"/>
    <cellStyle name="style1412269643215" xfId="17"/>
    <cellStyle name="style1412269643288" xfId="22"/>
    <cellStyle name="style1412269643324" xfId="23"/>
    <cellStyle name="style1412269643363" xfId="28"/>
    <cellStyle name="style1412269643404" xfId="29"/>
    <cellStyle name="style1412269643650" xfId="2"/>
    <cellStyle name="style1412269643681" xfId="3"/>
    <cellStyle name="style1412269643709" xfId="7"/>
    <cellStyle name="style1412269643737" xfId="8"/>
    <cellStyle name="style1412269643771" xfId="12"/>
    <cellStyle name="style1412269643799" xfId="13"/>
    <cellStyle name="style1412269643826" xfId="4"/>
    <cellStyle name="style1412269643862" xfId="5"/>
    <cellStyle name="style1412269643898" xfId="6"/>
    <cellStyle name="style1412269643933" xfId="9"/>
    <cellStyle name="style1412269643968" xfId="10"/>
    <cellStyle name="style1412269644007" xfId="11"/>
    <cellStyle name="style1412269644043" xfId="14"/>
    <cellStyle name="style1412269644079" xfId="15"/>
    <cellStyle name="style1412269644115" xfId="16"/>
    <cellStyle name="style1412269644151" xfId="18"/>
    <cellStyle name="style1412269644180" xfId="27"/>
    <cellStyle name="style1412269644233" xfId="19"/>
    <cellStyle name="style1412269644269" xfId="20"/>
    <cellStyle name="style1412269644305" xfId="21"/>
    <cellStyle name="style1412269644342" xfId="24"/>
    <cellStyle name="style1412269644378" xfId="25"/>
    <cellStyle name="style1412269644414" xfId="26"/>
    <cellStyle name="style1412269644590" xfId="30"/>
    <cellStyle name="style1412269644743" xfId="31"/>
    <cellStyle name="style1412269644779" xfId="32"/>
    <cellStyle name="style1412269644850" xfId="34"/>
    <cellStyle name="style1412269644879" xfId="35"/>
    <cellStyle name="style1412269644909" xfId="36"/>
    <cellStyle name="style1412269644944" xfId="37"/>
    <cellStyle name="style1412269644974" xfId="38"/>
    <cellStyle name="style1412269645003" xfId="39"/>
    <cellStyle name="style1412269645162" xfId="40"/>
    <cellStyle name="style1412269645193" xfId="41"/>
    <cellStyle name="style1412269645221" xfId="42"/>
    <cellStyle name="style1412272315156" xfId="115"/>
    <cellStyle name="style1412272315194" xfId="116"/>
    <cellStyle name="style1412272315230" xfId="117"/>
    <cellStyle name="style1412272315265" xfId="118"/>
    <cellStyle name="style1412272315301" xfId="119"/>
    <cellStyle name="style1412272315336" xfId="120"/>
    <cellStyle name="style1412272315382" xfId="121"/>
    <cellStyle name="style1412272315423" xfId="122"/>
    <cellStyle name="style1412272315462" xfId="123"/>
    <cellStyle name="style1412273418264" xfId="94"/>
    <cellStyle name="style1412273418293" xfId="98"/>
    <cellStyle name="style1412273418321" xfId="102"/>
    <cellStyle name="style1412273418350" xfId="95"/>
    <cellStyle name="style1412273418386" xfId="96"/>
    <cellStyle name="style1412273418588" xfId="97"/>
    <cellStyle name="style1412273418624" xfId="99"/>
    <cellStyle name="style1412273418660" xfId="100"/>
    <cellStyle name="style1412273418696" xfId="101"/>
    <cellStyle name="style1412273418740" xfId="103"/>
    <cellStyle name="style1412273418777" xfId="104"/>
    <cellStyle name="style1412273418816" xfId="105"/>
    <cellStyle name="style1412273418866" xfId="106"/>
    <cellStyle name="style1412273418895" xfId="107"/>
    <cellStyle name="style1412273418925" xfId="108"/>
    <cellStyle name="style1412273418956" xfId="109"/>
    <cellStyle name="style1412273418986" xfId="110"/>
    <cellStyle name="style1412273419014" xfId="111"/>
    <cellStyle name="style1412273419048" xfId="112"/>
    <cellStyle name="style1412273419075" xfId="113"/>
    <cellStyle name="style1412273419103" xfId="1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6</xdr:row>
          <xdr:rowOff>104775</xdr:rowOff>
        </xdr:from>
        <xdr:to>
          <xdr:col>3</xdr:col>
          <xdr:colOff>561975</xdr:colOff>
          <xdr:row>8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Xử lý Sheet Sig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9</xdr:row>
          <xdr:rowOff>152400</xdr:rowOff>
        </xdr:from>
        <xdr:to>
          <xdr:col>5</xdr:col>
          <xdr:colOff>19050</xdr:colOff>
          <xdr:row>11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Dán Data từ 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12</xdr:row>
          <xdr:rowOff>171450</xdr:rowOff>
        </xdr:from>
        <xdr:to>
          <xdr:col>5</xdr:col>
          <xdr:colOff>28575</xdr:colOff>
          <xdr:row>14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Dán Data từ Sheet Sig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16</xdr:row>
          <xdr:rowOff>161925</xdr:rowOff>
        </xdr:from>
        <xdr:to>
          <xdr:col>5</xdr:col>
          <xdr:colOff>38100</xdr:colOff>
          <xdr:row>18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màu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2"/>
  <sheetViews>
    <sheetView tabSelected="1" topLeftCell="A10" workbookViewId="0">
      <selection activeCell="H17" sqref="A17:H24"/>
    </sheetView>
  </sheetViews>
  <sheetFormatPr defaultRowHeight="15" x14ac:dyDescent="0.25"/>
  <cols>
    <col min="8" max="8" width="44.42578125" customWidth="1"/>
    <col min="9" max="9" width="16.28515625" customWidth="1"/>
  </cols>
  <sheetData>
    <row r="1" spans="1:9" x14ac:dyDescent="0.25">
      <c r="H1" t="s">
        <v>282</v>
      </c>
      <c r="I1" s="73" t="s">
        <v>283</v>
      </c>
    </row>
    <row r="2" spans="1:9" ht="69" customHeight="1" x14ac:dyDescent="0.25">
      <c r="B2" s="110" t="s">
        <v>209</v>
      </c>
      <c r="C2" s="110"/>
      <c r="D2" s="110"/>
      <c r="E2" s="110"/>
      <c r="F2" s="110"/>
      <c r="H2" t="s">
        <v>281</v>
      </c>
      <c r="I2" s="73" t="s">
        <v>284</v>
      </c>
    </row>
    <row r="3" spans="1:9" x14ac:dyDescent="0.25">
      <c r="H3" t="s">
        <v>195</v>
      </c>
      <c r="I3">
        <v>2</v>
      </c>
    </row>
    <row r="4" spans="1:9" x14ac:dyDescent="0.25">
      <c r="B4" t="s">
        <v>179</v>
      </c>
      <c r="H4" t="s">
        <v>196</v>
      </c>
      <c r="I4">
        <v>11</v>
      </c>
    </row>
    <row r="5" spans="1:9" x14ac:dyDescent="0.25">
      <c r="B5" t="s">
        <v>194</v>
      </c>
      <c r="H5" t="s">
        <v>197</v>
      </c>
      <c r="I5">
        <v>13</v>
      </c>
    </row>
    <row r="6" spans="1:9" x14ac:dyDescent="0.25">
      <c r="B6" t="s">
        <v>193</v>
      </c>
      <c r="H6" t="s">
        <v>198</v>
      </c>
      <c r="I6">
        <v>322</v>
      </c>
    </row>
    <row r="7" spans="1:9" x14ac:dyDescent="0.25">
      <c r="H7" s="73" t="s">
        <v>199</v>
      </c>
      <c r="I7">
        <v>4</v>
      </c>
    </row>
    <row r="8" spans="1:9" x14ac:dyDescent="0.25">
      <c r="A8" s="58">
        <v>1</v>
      </c>
      <c r="H8" s="73" t="s">
        <v>200</v>
      </c>
      <c r="I8">
        <v>13</v>
      </c>
    </row>
    <row r="9" spans="1:9" x14ac:dyDescent="0.25">
      <c r="H9" s="73" t="s">
        <v>201</v>
      </c>
      <c r="I9">
        <v>4</v>
      </c>
    </row>
    <row r="10" spans="1:9" x14ac:dyDescent="0.25">
      <c r="H10" s="73" t="s">
        <v>202</v>
      </c>
      <c r="I10">
        <v>15</v>
      </c>
    </row>
    <row r="11" spans="1:9" x14ac:dyDescent="0.25">
      <c r="A11" s="58">
        <v>2</v>
      </c>
      <c r="H11" s="73" t="s">
        <v>203</v>
      </c>
      <c r="I11" s="73">
        <v>4</v>
      </c>
    </row>
    <row r="12" spans="1:9" x14ac:dyDescent="0.25">
      <c r="H12" s="73" t="s">
        <v>204</v>
      </c>
      <c r="I12" s="73">
        <v>13</v>
      </c>
    </row>
    <row r="13" spans="1:9" x14ac:dyDescent="0.25">
      <c r="H13" s="73" t="s">
        <v>205</v>
      </c>
      <c r="I13" s="73">
        <v>4</v>
      </c>
    </row>
    <row r="14" spans="1:9" x14ac:dyDescent="0.25">
      <c r="A14" s="58">
        <v>3</v>
      </c>
      <c r="H14" s="73" t="s">
        <v>206</v>
      </c>
      <c r="I14" s="73">
        <v>15</v>
      </c>
    </row>
    <row r="15" spans="1:9" x14ac:dyDescent="0.25">
      <c r="I15" s="73"/>
    </row>
    <row r="18" spans="1:2" x14ac:dyDescent="0.25">
      <c r="A18" s="58">
        <v>4</v>
      </c>
    </row>
    <row r="22" spans="1:2" x14ac:dyDescent="0.25">
      <c r="A22" s="58">
        <v>5</v>
      </c>
      <c r="B22" t="s">
        <v>180</v>
      </c>
    </row>
  </sheetData>
  <mergeCells count="1"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_SigTest">
                <anchor moveWithCells="1" sizeWithCells="1">
                  <from>
                    <xdr:col>1</xdr:col>
                    <xdr:colOff>409575</xdr:colOff>
                    <xdr:row>6</xdr:row>
                    <xdr:rowOff>104775</xdr:rowOff>
                  </from>
                  <to>
                    <xdr:col>3</xdr:col>
                    <xdr:colOff>561975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py_Data">
                <anchor moveWithCells="1" sizeWithCells="1">
                  <from>
                    <xdr:col>1</xdr:col>
                    <xdr:colOff>409575</xdr:colOff>
                    <xdr:row>9</xdr:row>
                    <xdr:rowOff>152400</xdr:rowOff>
                  </from>
                  <to>
                    <xdr:col>5</xdr:col>
                    <xdr:colOff>19050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opy_SigTest">
                <anchor moveWithCells="1" sizeWithCells="1">
                  <from>
                    <xdr:col>1</xdr:col>
                    <xdr:colOff>428625</xdr:colOff>
                    <xdr:row>12</xdr:row>
                    <xdr:rowOff>171450</xdr:rowOff>
                  </from>
                  <to>
                    <xdr:col>5</xdr:col>
                    <xdr:colOff>28575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rk_Color_For_Sig_Test_Result">
                <anchor moveWithCells="1" sizeWithCells="1">
                  <from>
                    <xdr:col>1</xdr:col>
                    <xdr:colOff>438150</xdr:colOff>
                    <xdr:row>16</xdr:row>
                    <xdr:rowOff>161925</xdr:rowOff>
                  </from>
                  <to>
                    <xdr:col>5</xdr:col>
                    <xdr:colOff>38100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2"/>
  <sheetViews>
    <sheetView workbookViewId="0">
      <selection activeCell="C5" sqref="C5"/>
    </sheetView>
  </sheetViews>
  <sheetFormatPr defaultRowHeight="15" x14ac:dyDescent="0.25"/>
  <cols>
    <col min="1" max="1" width="24.85546875" style="13" customWidth="1"/>
    <col min="2" max="2" width="39.28515625" customWidth="1"/>
  </cols>
  <sheetData>
    <row r="1" spans="1:12" ht="15" customHeight="1" x14ac:dyDescent="0.25">
      <c r="A1" s="59" t="s">
        <v>178</v>
      </c>
      <c r="B1" s="15" t="s">
        <v>21</v>
      </c>
      <c r="C1" s="16" t="s">
        <v>22</v>
      </c>
      <c r="D1" s="17" t="s">
        <v>23</v>
      </c>
      <c r="E1" s="16" t="s">
        <v>24</v>
      </c>
      <c r="F1" s="17" t="s">
        <v>25</v>
      </c>
      <c r="G1" s="16" t="s">
        <v>26</v>
      </c>
      <c r="H1" s="17" t="s">
        <v>27</v>
      </c>
      <c r="I1" s="16" t="s">
        <v>28</v>
      </c>
      <c r="J1" s="17" t="s">
        <v>29</v>
      </c>
      <c r="K1" s="16" t="s">
        <v>30</v>
      </c>
      <c r="L1" s="17" t="s">
        <v>31</v>
      </c>
    </row>
    <row r="2" spans="1:12" ht="15" customHeight="1" x14ac:dyDescent="0.25">
      <c r="A2" s="57">
        <v>1</v>
      </c>
      <c r="B2" s="18" t="s">
        <v>32</v>
      </c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25">
      <c r="A3" s="57">
        <v>2</v>
      </c>
      <c r="B3" s="20"/>
      <c r="C3" s="19"/>
      <c r="D3" s="19"/>
      <c r="E3" s="19"/>
      <c r="F3" s="19"/>
      <c r="G3" s="19"/>
      <c r="H3" s="19"/>
      <c r="I3" s="19"/>
      <c r="J3" s="19"/>
      <c r="K3" s="19"/>
      <c r="L3" s="19"/>
    </row>
    <row r="4" spans="1:12" ht="21" x14ac:dyDescent="0.25">
      <c r="A4" s="57">
        <v>3</v>
      </c>
      <c r="B4" s="21" t="s">
        <v>12</v>
      </c>
      <c r="C4" s="7">
        <v>0.14285714285714285</v>
      </c>
      <c r="D4" s="8">
        <v>0.14285714285714285</v>
      </c>
      <c r="E4" s="8">
        <v>0.25</v>
      </c>
      <c r="F4" s="8">
        <v>0.10714285714285714</v>
      </c>
      <c r="G4" s="8">
        <v>7.1428571428571425E-2</v>
      </c>
      <c r="H4" s="8">
        <v>7.1428571428571425E-2</v>
      </c>
      <c r="I4" s="8">
        <v>0.21428571428571427</v>
      </c>
      <c r="J4" s="8">
        <v>0.10714285714285714</v>
      </c>
      <c r="K4" s="8">
        <v>0.21428571428571427</v>
      </c>
      <c r="L4" s="9">
        <v>0.32142857142857145</v>
      </c>
    </row>
    <row r="5" spans="1:12" ht="21" x14ac:dyDescent="0.25">
      <c r="A5" s="57">
        <v>4</v>
      </c>
      <c r="B5" s="21"/>
      <c r="C5" s="74"/>
      <c r="D5" s="75"/>
      <c r="E5" s="75" t="s">
        <v>207</v>
      </c>
      <c r="F5" s="75"/>
      <c r="G5" s="75"/>
      <c r="H5" s="75"/>
      <c r="I5" s="75"/>
      <c r="J5" s="75"/>
      <c r="K5" s="75"/>
      <c r="L5" s="76" t="s">
        <v>228</v>
      </c>
    </row>
    <row r="6" spans="1:12" ht="21" x14ac:dyDescent="0.25">
      <c r="A6" s="57">
        <v>5</v>
      </c>
      <c r="B6" s="21" t="s">
        <v>13</v>
      </c>
      <c r="C6" s="7">
        <v>0.35714285714285715</v>
      </c>
      <c r="D6" s="8">
        <v>0.35714285714285715</v>
      </c>
      <c r="E6" s="8">
        <v>0.5</v>
      </c>
      <c r="F6" s="8">
        <v>0.42857142857142855</v>
      </c>
      <c r="G6" s="8">
        <v>0.42857142857142855</v>
      </c>
      <c r="H6" s="8">
        <v>0.4642857142857143</v>
      </c>
      <c r="I6" s="8">
        <v>0.4642857142857143</v>
      </c>
      <c r="J6" s="8">
        <v>0.4642857142857143</v>
      </c>
      <c r="K6" s="8">
        <v>0.5357142857142857</v>
      </c>
      <c r="L6" s="9">
        <v>0.6785714285714286</v>
      </c>
    </row>
    <row r="7" spans="1:12" ht="21" x14ac:dyDescent="0.25">
      <c r="A7" s="57">
        <v>6</v>
      </c>
      <c r="B7" s="21"/>
      <c r="C7" s="74"/>
      <c r="D7" s="75"/>
      <c r="E7" s="75"/>
      <c r="F7" s="75"/>
      <c r="G7" s="75"/>
      <c r="H7" s="75"/>
      <c r="I7" s="75"/>
      <c r="J7" s="75"/>
      <c r="K7" s="75"/>
      <c r="L7" s="76" t="s">
        <v>229</v>
      </c>
    </row>
    <row r="8" spans="1:12" ht="21" x14ac:dyDescent="0.25">
      <c r="A8" s="57">
        <v>7</v>
      </c>
      <c r="B8" s="21" t="s">
        <v>14</v>
      </c>
      <c r="C8" s="7">
        <v>0.14285714285714285</v>
      </c>
      <c r="D8" s="8">
        <v>7.1428571428571425E-2</v>
      </c>
      <c r="E8" s="8">
        <v>0.14285714285714285</v>
      </c>
      <c r="F8" s="8">
        <v>0.17857142857142858</v>
      </c>
      <c r="G8" s="8">
        <v>0.10714285714285714</v>
      </c>
      <c r="H8" s="8">
        <v>0.17857142857142858</v>
      </c>
      <c r="I8" s="8">
        <v>7.1428571428571425E-2</v>
      </c>
      <c r="J8" s="8">
        <v>0.14285714285714285</v>
      </c>
      <c r="K8" s="8">
        <v>7.1428571428571425E-2</v>
      </c>
      <c r="L8" s="9">
        <v>3.5714285714285712E-2</v>
      </c>
    </row>
    <row r="9" spans="1:12" ht="21" x14ac:dyDescent="0.25">
      <c r="A9" s="57">
        <v>8</v>
      </c>
      <c r="B9" s="21"/>
      <c r="C9" s="74"/>
      <c r="D9" s="75"/>
      <c r="E9" s="75"/>
      <c r="F9" s="75" t="s">
        <v>36</v>
      </c>
      <c r="G9" s="75"/>
      <c r="H9" s="75" t="s">
        <v>36</v>
      </c>
      <c r="I9" s="75"/>
      <c r="J9" s="75"/>
      <c r="K9" s="75"/>
      <c r="L9" s="76"/>
    </row>
    <row r="10" spans="1:12" ht="24" x14ac:dyDescent="0.25">
      <c r="A10" s="57">
        <v>9</v>
      </c>
      <c r="B10" s="18" t="s">
        <v>34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ht="21" x14ac:dyDescent="0.25">
      <c r="A11" s="57">
        <v>10</v>
      </c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ht="21" x14ac:dyDescent="0.25">
      <c r="A12" s="57">
        <v>11</v>
      </c>
      <c r="B12" s="21" t="s">
        <v>15</v>
      </c>
      <c r="C12" s="7">
        <v>0.8214285714285714</v>
      </c>
      <c r="D12" s="8">
        <v>0.8214285714285714</v>
      </c>
      <c r="E12" s="8">
        <v>0.7857142857142857</v>
      </c>
      <c r="F12" s="8">
        <v>0.8571428571428571</v>
      </c>
      <c r="G12" s="8">
        <v>0.8214285714285714</v>
      </c>
      <c r="H12" s="8">
        <v>0.75</v>
      </c>
      <c r="I12" s="8">
        <v>0.7857142857142857</v>
      </c>
      <c r="J12" s="8">
        <v>0.75</v>
      </c>
      <c r="K12" s="8">
        <v>0.8571428571428571</v>
      </c>
      <c r="L12" s="9">
        <v>1</v>
      </c>
    </row>
    <row r="13" spans="1:12" ht="21" x14ac:dyDescent="0.25">
      <c r="A13" s="57">
        <v>12</v>
      </c>
      <c r="B13" s="21"/>
      <c r="C13" s="74"/>
      <c r="D13" s="75"/>
      <c r="E13" s="75"/>
      <c r="F13" s="75"/>
      <c r="G13" s="75"/>
      <c r="H13" s="75"/>
      <c r="I13" s="75"/>
      <c r="J13" s="75"/>
      <c r="K13" s="75"/>
      <c r="L13" s="76"/>
    </row>
    <row r="14" spans="1:12" ht="21" x14ac:dyDescent="0.25">
      <c r="A14" s="57">
        <v>13</v>
      </c>
      <c r="B14" s="21" t="s">
        <v>16</v>
      </c>
      <c r="C14" s="7">
        <v>0.10714285714285714</v>
      </c>
      <c r="D14" s="8">
        <v>7.1428571428571425E-2</v>
      </c>
      <c r="E14" s="8">
        <v>3.5714285714285712E-2</v>
      </c>
      <c r="F14" s="8">
        <v>7.1428571428571425E-2</v>
      </c>
      <c r="G14" s="8">
        <v>7.1428571428571425E-2</v>
      </c>
      <c r="H14" s="8">
        <v>7.1428571428571425E-2</v>
      </c>
      <c r="I14" s="8">
        <v>7.1428571428571425E-2</v>
      </c>
      <c r="J14" s="8">
        <v>0.14285714285714285</v>
      </c>
      <c r="K14" s="8">
        <v>7.1428571428571425E-2</v>
      </c>
      <c r="L14" s="9">
        <v>0</v>
      </c>
    </row>
    <row r="15" spans="1:12" ht="21" x14ac:dyDescent="0.25">
      <c r="A15" s="57">
        <v>14</v>
      </c>
      <c r="B15" s="21"/>
      <c r="C15" s="74"/>
      <c r="D15" s="75"/>
      <c r="E15" s="75"/>
      <c r="F15" s="75"/>
      <c r="G15" s="75"/>
      <c r="H15" s="75"/>
      <c r="I15" s="75"/>
      <c r="J15" s="75"/>
      <c r="K15" s="75"/>
      <c r="L15" s="76"/>
    </row>
    <row r="16" spans="1:12" ht="24" x14ac:dyDescent="0.25">
      <c r="A16" s="57">
        <v>15</v>
      </c>
      <c r="B16" s="18" t="s">
        <v>37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</row>
    <row r="17" spans="1:12" ht="21" x14ac:dyDescent="0.25">
      <c r="A17" s="57">
        <v>16</v>
      </c>
      <c r="B17" s="18"/>
      <c r="C17" s="22"/>
      <c r="D17" s="22"/>
      <c r="E17" s="22"/>
      <c r="F17" s="22"/>
      <c r="G17" s="22"/>
      <c r="H17" s="22"/>
      <c r="I17" s="22"/>
      <c r="J17" s="22"/>
      <c r="K17" s="22"/>
      <c r="L17" s="22"/>
    </row>
    <row r="18" spans="1:12" ht="21" x14ac:dyDescent="0.25">
      <c r="A18" s="57">
        <v>17</v>
      </c>
      <c r="B18" s="21" t="s">
        <v>17</v>
      </c>
      <c r="C18" s="7">
        <v>3.5714285714285712E-2</v>
      </c>
      <c r="D18" s="8">
        <v>7.1428571428571425E-2</v>
      </c>
      <c r="E18" s="8">
        <v>0.14285714285714285</v>
      </c>
      <c r="F18" s="8">
        <v>7.1428571428571425E-2</v>
      </c>
      <c r="G18" s="8">
        <v>0.21428571428571427</v>
      </c>
      <c r="H18" s="8">
        <v>0.17857142857142858</v>
      </c>
      <c r="I18" s="8">
        <v>0.17857142857142858</v>
      </c>
      <c r="J18" s="8">
        <v>0.10714285714285714</v>
      </c>
      <c r="K18" s="8">
        <v>7.1428571428571425E-2</v>
      </c>
      <c r="L18" s="9">
        <v>0</v>
      </c>
    </row>
    <row r="19" spans="1:12" ht="21" x14ac:dyDescent="0.25">
      <c r="A19" s="57">
        <v>18</v>
      </c>
      <c r="B19" s="21"/>
      <c r="C19" s="74"/>
      <c r="D19" s="75"/>
      <c r="E19" s="75"/>
      <c r="F19" s="75"/>
      <c r="G19" s="75" t="s">
        <v>22</v>
      </c>
      <c r="H19" s="75" t="s">
        <v>39</v>
      </c>
      <c r="I19" s="75" t="s">
        <v>39</v>
      </c>
      <c r="J19" s="75"/>
      <c r="K19" s="75"/>
      <c r="L19" s="76"/>
    </row>
    <row r="20" spans="1:12" ht="21" x14ac:dyDescent="0.25">
      <c r="A20" s="57">
        <v>19</v>
      </c>
      <c r="B20" s="21" t="s">
        <v>18</v>
      </c>
      <c r="C20" s="7">
        <v>7.1428571428571425E-2</v>
      </c>
      <c r="D20" s="8">
        <v>0</v>
      </c>
      <c r="E20" s="8">
        <v>0</v>
      </c>
      <c r="F20" s="8">
        <v>3.5714285714285712E-2</v>
      </c>
      <c r="G20" s="8">
        <v>7.1428571428571425E-2</v>
      </c>
      <c r="H20" s="8">
        <v>3.5714285714285712E-2</v>
      </c>
      <c r="I20" s="8">
        <v>3.5714285714285712E-2</v>
      </c>
      <c r="J20" s="8">
        <v>0</v>
      </c>
      <c r="K20" s="8">
        <v>0</v>
      </c>
      <c r="L20" s="9">
        <v>0</v>
      </c>
    </row>
    <row r="21" spans="1:12" ht="21" x14ac:dyDescent="0.25">
      <c r="A21" s="57">
        <v>20</v>
      </c>
      <c r="B21" s="21"/>
      <c r="C21" s="74"/>
      <c r="D21" s="75"/>
      <c r="E21" s="75"/>
      <c r="F21" s="75"/>
      <c r="G21" s="75"/>
      <c r="H21" s="75"/>
      <c r="I21" s="75"/>
      <c r="J21" s="75"/>
      <c r="K21" s="75"/>
      <c r="L21" s="76"/>
    </row>
    <row r="22" spans="1:12" ht="36" x14ac:dyDescent="0.25">
      <c r="A22" s="57">
        <v>21</v>
      </c>
      <c r="B22" s="18" t="s">
        <v>38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</row>
    <row r="23" spans="1:12" ht="21" x14ac:dyDescent="0.25">
      <c r="A23" s="57">
        <v>22</v>
      </c>
      <c r="B23" s="18"/>
      <c r="C23" s="22"/>
      <c r="D23" s="22"/>
      <c r="E23" s="22"/>
      <c r="F23" s="22"/>
      <c r="G23" s="22"/>
      <c r="H23" s="22"/>
      <c r="I23" s="22"/>
      <c r="J23" s="22"/>
      <c r="K23" s="22"/>
      <c r="L23" s="22"/>
    </row>
    <row r="24" spans="1:12" ht="21" x14ac:dyDescent="0.25">
      <c r="A24" s="57">
        <v>23</v>
      </c>
      <c r="B24" s="21" t="s">
        <v>19</v>
      </c>
      <c r="C24" s="7">
        <v>7.1428571428571425E-2</v>
      </c>
      <c r="D24" s="8">
        <v>0.25</v>
      </c>
      <c r="E24" s="8">
        <v>0.21428571428571427</v>
      </c>
      <c r="F24" s="8">
        <v>0.14285714285714285</v>
      </c>
      <c r="G24" s="8">
        <v>0.25</v>
      </c>
      <c r="H24" s="8">
        <v>0.14285714285714285</v>
      </c>
      <c r="I24" s="8">
        <v>0.14285714285714285</v>
      </c>
      <c r="J24" s="8">
        <v>0.10714285714285714</v>
      </c>
      <c r="K24" s="8">
        <v>0.10714285714285714</v>
      </c>
      <c r="L24" s="9">
        <v>7.1428571428571425E-2</v>
      </c>
    </row>
    <row r="25" spans="1:12" ht="21" x14ac:dyDescent="0.25">
      <c r="A25" s="57">
        <v>24</v>
      </c>
      <c r="B25" s="21"/>
      <c r="C25" s="74"/>
      <c r="D25" s="75" t="s">
        <v>128</v>
      </c>
      <c r="E25" s="75"/>
      <c r="F25" s="75"/>
      <c r="G25" s="75" t="s">
        <v>128</v>
      </c>
      <c r="H25" s="75"/>
      <c r="I25" s="75"/>
      <c r="J25" s="75"/>
      <c r="K25" s="75"/>
      <c r="L25" s="76"/>
    </row>
    <row r="26" spans="1:12" ht="21" x14ac:dyDescent="0.25">
      <c r="A26" s="57">
        <v>25</v>
      </c>
      <c r="B26" s="21" t="s">
        <v>20</v>
      </c>
      <c r="C26" s="7">
        <v>0.6428571428571429</v>
      </c>
      <c r="D26" s="8">
        <v>0.5714285714285714</v>
      </c>
      <c r="E26" s="8">
        <v>0.6428571428571429</v>
      </c>
      <c r="F26" s="8">
        <v>0.6785714285714286</v>
      </c>
      <c r="G26" s="8">
        <v>0.6428571428571429</v>
      </c>
      <c r="H26" s="8">
        <v>0.5714285714285714</v>
      </c>
      <c r="I26" s="8">
        <v>0.6785714285714286</v>
      </c>
      <c r="J26" s="8">
        <v>0.6785714285714286</v>
      </c>
      <c r="K26" s="8">
        <v>0.7142857142857143</v>
      </c>
      <c r="L26" s="9">
        <v>0.8214285714285714</v>
      </c>
    </row>
    <row r="27" spans="1:12" ht="21" x14ac:dyDescent="0.25">
      <c r="A27" s="57">
        <v>26</v>
      </c>
      <c r="B27" s="21"/>
      <c r="C27" s="74"/>
      <c r="D27" s="75"/>
      <c r="E27" s="75"/>
      <c r="F27" s="75"/>
      <c r="G27" s="75"/>
      <c r="H27" s="75"/>
      <c r="I27" s="75"/>
      <c r="J27" s="75"/>
      <c r="K27" s="75"/>
      <c r="L27" s="76" t="s">
        <v>210</v>
      </c>
    </row>
    <row r="28" spans="1:12" ht="21" x14ac:dyDescent="0.25">
      <c r="A28" s="57">
        <v>27</v>
      </c>
      <c r="B28" s="21" t="s">
        <v>18</v>
      </c>
      <c r="C28" s="7">
        <v>0.2857142857142857</v>
      </c>
      <c r="D28" s="8">
        <v>0.17857142857142858</v>
      </c>
      <c r="E28" s="8">
        <v>0.14285714285714285</v>
      </c>
      <c r="F28" s="8">
        <v>0.17857142857142858</v>
      </c>
      <c r="G28" s="8">
        <v>0.10714285714285714</v>
      </c>
      <c r="H28" s="8">
        <v>0.2857142857142857</v>
      </c>
      <c r="I28" s="8">
        <v>0.17857142857142858</v>
      </c>
      <c r="J28" s="8">
        <v>0.21428571428571427</v>
      </c>
      <c r="K28" s="8">
        <v>0.17857142857142858</v>
      </c>
      <c r="L28" s="9">
        <v>0.10714285714285714</v>
      </c>
    </row>
    <row r="29" spans="1:12" ht="21" x14ac:dyDescent="0.25">
      <c r="A29" s="57">
        <v>28</v>
      </c>
      <c r="B29" s="21"/>
      <c r="C29" s="74" t="s">
        <v>208</v>
      </c>
      <c r="D29" s="75"/>
      <c r="E29" s="75"/>
      <c r="F29" s="75"/>
      <c r="G29" s="75"/>
      <c r="H29" s="75" t="s">
        <v>208</v>
      </c>
      <c r="I29" s="75"/>
      <c r="J29" s="75"/>
      <c r="K29" s="75"/>
      <c r="L29" s="76"/>
    </row>
    <row r="30" spans="1:12" ht="36" x14ac:dyDescent="0.25">
      <c r="A30" s="57">
        <v>29</v>
      </c>
      <c r="B30" s="18" t="s">
        <v>41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</row>
    <row r="31" spans="1:12" ht="21" x14ac:dyDescent="0.25">
      <c r="A31" s="57">
        <v>30</v>
      </c>
      <c r="B31" s="20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 ht="21" x14ac:dyDescent="0.25">
      <c r="A32" s="57">
        <v>31</v>
      </c>
      <c r="B32" s="21" t="s">
        <v>15</v>
      </c>
      <c r="C32" s="7">
        <v>0.39285714285714285</v>
      </c>
      <c r="D32" s="8">
        <v>0.39285714285714285</v>
      </c>
      <c r="E32" s="8">
        <v>0.4642857142857143</v>
      </c>
      <c r="F32" s="8">
        <v>0.35714285714285715</v>
      </c>
      <c r="G32" s="8">
        <v>0.21428571428571427</v>
      </c>
      <c r="H32" s="8">
        <v>0.25</v>
      </c>
      <c r="I32" s="8">
        <v>0.4642857142857143</v>
      </c>
      <c r="J32" s="8">
        <v>0.35714285714285715</v>
      </c>
      <c r="K32" s="8">
        <v>0.42857142857142855</v>
      </c>
      <c r="L32" s="9">
        <v>0.5</v>
      </c>
    </row>
    <row r="33" spans="1:12" ht="21" x14ac:dyDescent="0.25">
      <c r="A33" s="57">
        <v>32</v>
      </c>
      <c r="B33" s="21"/>
      <c r="C33" s="74"/>
      <c r="D33" s="75"/>
      <c r="E33" s="75" t="s">
        <v>216</v>
      </c>
      <c r="F33" s="75"/>
      <c r="G33" s="75"/>
      <c r="H33" s="75"/>
      <c r="I33" s="75" t="s">
        <v>216</v>
      </c>
      <c r="J33" s="75"/>
      <c r="K33" s="75" t="s">
        <v>35</v>
      </c>
      <c r="L33" s="76" t="s">
        <v>216</v>
      </c>
    </row>
    <row r="34" spans="1:12" ht="21" x14ac:dyDescent="0.25">
      <c r="A34" s="57">
        <v>33</v>
      </c>
      <c r="B34" s="21" t="s">
        <v>14</v>
      </c>
      <c r="C34" s="7">
        <v>0.32142857142857145</v>
      </c>
      <c r="D34" s="8">
        <v>0.42857142857142855</v>
      </c>
      <c r="E34" s="8">
        <v>0.35714285714285715</v>
      </c>
      <c r="F34" s="8">
        <v>0.32142857142857145</v>
      </c>
      <c r="G34" s="8">
        <v>0.25</v>
      </c>
      <c r="H34" s="8">
        <v>0.39285714285714285</v>
      </c>
      <c r="I34" s="8">
        <v>0.32142857142857145</v>
      </c>
      <c r="J34" s="8">
        <v>0.2857142857142857</v>
      </c>
      <c r="K34" s="8">
        <v>0.25</v>
      </c>
      <c r="L34" s="9">
        <v>0.14285714285714285</v>
      </c>
    </row>
    <row r="35" spans="1:12" ht="21" x14ac:dyDescent="0.25">
      <c r="A35" s="57">
        <v>34</v>
      </c>
      <c r="B35" s="21"/>
      <c r="C35" s="74"/>
      <c r="D35" s="75" t="s">
        <v>31</v>
      </c>
      <c r="E35" s="75" t="s">
        <v>36</v>
      </c>
      <c r="F35" s="75"/>
      <c r="G35" s="75"/>
      <c r="H35" s="75" t="s">
        <v>31</v>
      </c>
      <c r="I35" s="75"/>
      <c r="J35" s="75"/>
      <c r="K35" s="75"/>
      <c r="L35" s="76"/>
    </row>
    <row r="36" spans="1:12" ht="21" x14ac:dyDescent="0.25">
      <c r="A36" s="57">
        <v>35</v>
      </c>
      <c r="B36" s="18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</row>
    <row r="37" spans="1:12" ht="21" x14ac:dyDescent="0.25">
      <c r="A37" s="57">
        <v>36</v>
      </c>
      <c r="B37" s="23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</row>
    <row r="38" spans="1:12" ht="21" x14ac:dyDescent="0.25">
      <c r="A38" s="57">
        <v>37</v>
      </c>
      <c r="B38" s="24"/>
      <c r="C38" s="22"/>
      <c r="D38" s="22"/>
      <c r="E38" s="22"/>
      <c r="F38" s="22"/>
      <c r="G38" s="22"/>
      <c r="H38" s="22"/>
      <c r="I38" s="22"/>
      <c r="J38" s="22"/>
      <c r="K38" s="22"/>
      <c r="L38" s="22"/>
    </row>
    <row r="39" spans="1:12" ht="21" x14ac:dyDescent="0.25">
      <c r="A39" s="57">
        <v>38</v>
      </c>
      <c r="B39" s="21" t="s">
        <v>15</v>
      </c>
      <c r="C39" s="7">
        <v>0.7142857142857143</v>
      </c>
      <c r="D39" s="8">
        <v>0.7142857142857143</v>
      </c>
      <c r="E39" s="8">
        <v>0.8214285714285714</v>
      </c>
      <c r="F39" s="8">
        <v>0.75</v>
      </c>
      <c r="G39" s="8">
        <v>0.75</v>
      </c>
      <c r="H39" s="8">
        <v>0.6785714285714286</v>
      </c>
      <c r="I39" s="8">
        <v>0.75</v>
      </c>
      <c r="J39" s="8">
        <v>0.7142857142857143</v>
      </c>
      <c r="K39" s="8">
        <v>0.7857142857142857</v>
      </c>
      <c r="L39" s="9">
        <v>0.9642857142857143</v>
      </c>
    </row>
    <row r="40" spans="1:12" ht="24" x14ac:dyDescent="0.25">
      <c r="A40" s="57">
        <v>39</v>
      </c>
      <c r="B40" s="21"/>
      <c r="C40" s="74"/>
      <c r="D40" s="75"/>
      <c r="E40" s="75"/>
      <c r="F40" s="75"/>
      <c r="G40" s="75"/>
      <c r="H40" s="75"/>
      <c r="I40" s="75"/>
      <c r="J40" s="75"/>
      <c r="K40" s="75"/>
      <c r="L40" s="76" t="s">
        <v>230</v>
      </c>
    </row>
    <row r="41" spans="1:12" ht="21" x14ac:dyDescent="0.25">
      <c r="A41" s="57">
        <v>40</v>
      </c>
      <c r="B41" s="21" t="s">
        <v>16</v>
      </c>
      <c r="C41" s="7">
        <v>3.5714285714285712E-2</v>
      </c>
      <c r="D41" s="8">
        <v>3.5714285714285712E-2</v>
      </c>
      <c r="E41" s="8">
        <v>0</v>
      </c>
      <c r="F41" s="8">
        <v>0</v>
      </c>
      <c r="G41" s="8">
        <v>0.10714285714285714</v>
      </c>
      <c r="H41" s="8">
        <v>0.14285714285714285</v>
      </c>
      <c r="I41" s="8">
        <v>0</v>
      </c>
      <c r="J41" s="8">
        <v>0.10714285714285714</v>
      </c>
      <c r="K41" s="8">
        <v>3.5714285714285712E-2</v>
      </c>
      <c r="L41" s="9">
        <v>0</v>
      </c>
    </row>
    <row r="42" spans="1:12" ht="21" x14ac:dyDescent="0.25">
      <c r="A42" s="57">
        <v>41</v>
      </c>
      <c r="B42" s="21"/>
      <c r="C42" s="74"/>
      <c r="D42" s="75"/>
      <c r="E42" s="75"/>
      <c r="F42" s="75"/>
      <c r="G42" s="75"/>
      <c r="H42" s="75"/>
      <c r="I42" s="75"/>
      <c r="J42" s="75"/>
      <c r="K42" s="75"/>
      <c r="L42" s="76"/>
    </row>
    <row r="43" spans="1:12" ht="21" x14ac:dyDescent="0.25">
      <c r="A43" s="57">
        <v>42</v>
      </c>
      <c r="B43" s="23" t="s">
        <v>45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</row>
    <row r="44" spans="1:12" ht="21" x14ac:dyDescent="0.25">
      <c r="A44" s="57">
        <v>43</v>
      </c>
      <c r="B44" s="24"/>
      <c r="C44" s="22"/>
      <c r="D44" s="22"/>
      <c r="E44" s="22"/>
      <c r="F44" s="22"/>
      <c r="G44" s="22"/>
      <c r="H44" s="22"/>
      <c r="I44" s="22"/>
      <c r="J44" s="22"/>
      <c r="K44" s="22"/>
      <c r="L44" s="22"/>
    </row>
    <row r="45" spans="1:12" ht="21" x14ac:dyDescent="0.25">
      <c r="A45" s="57">
        <v>44</v>
      </c>
      <c r="B45" s="21" t="s">
        <v>15</v>
      </c>
      <c r="C45" s="7">
        <v>0.6428571428571429</v>
      </c>
      <c r="D45" s="8">
        <v>0.5357142857142857</v>
      </c>
      <c r="E45" s="8">
        <v>0.6428571428571429</v>
      </c>
      <c r="F45" s="8">
        <v>0.6071428571428571</v>
      </c>
      <c r="G45" s="8">
        <v>0.6785714285714286</v>
      </c>
      <c r="H45" s="8">
        <v>0.5</v>
      </c>
      <c r="I45" s="8">
        <v>0.75</v>
      </c>
      <c r="J45" s="8">
        <v>0.6785714285714286</v>
      </c>
      <c r="K45" s="8">
        <v>0.75</v>
      </c>
      <c r="L45" s="9">
        <v>0.75</v>
      </c>
    </row>
    <row r="46" spans="1:12" ht="21" x14ac:dyDescent="0.25">
      <c r="A46" s="57">
        <v>45</v>
      </c>
      <c r="B46" s="21"/>
      <c r="C46" s="74"/>
      <c r="D46" s="75"/>
      <c r="E46" s="75"/>
      <c r="F46" s="75"/>
      <c r="G46" s="75"/>
      <c r="H46" s="75"/>
      <c r="I46" s="75" t="s">
        <v>69</v>
      </c>
      <c r="J46" s="75"/>
      <c r="K46" s="75" t="s">
        <v>69</v>
      </c>
      <c r="L46" s="76" t="s">
        <v>69</v>
      </c>
    </row>
    <row r="47" spans="1:12" ht="21" x14ac:dyDescent="0.25">
      <c r="A47" s="57">
        <v>46</v>
      </c>
      <c r="B47" s="21" t="s">
        <v>16</v>
      </c>
      <c r="C47" s="7">
        <v>0.21428571428571427</v>
      </c>
      <c r="D47" s="8">
        <v>0.14285714285714285</v>
      </c>
      <c r="E47" s="8">
        <v>0.25</v>
      </c>
      <c r="F47" s="8">
        <v>0.21428571428571427</v>
      </c>
      <c r="G47" s="8">
        <v>0.2857142857142857</v>
      </c>
      <c r="H47" s="8">
        <v>0.25</v>
      </c>
      <c r="I47" s="8">
        <v>0.17857142857142858</v>
      </c>
      <c r="J47" s="8">
        <v>0.21428571428571427</v>
      </c>
      <c r="K47" s="8">
        <v>0.14285714285714285</v>
      </c>
      <c r="L47" s="9">
        <v>7.1428571428571425E-2</v>
      </c>
    </row>
    <row r="48" spans="1:12" ht="21" x14ac:dyDescent="0.25">
      <c r="A48" s="57">
        <v>47</v>
      </c>
      <c r="B48" s="21"/>
      <c r="C48" s="74"/>
      <c r="D48" s="75"/>
      <c r="E48" s="75" t="s">
        <v>36</v>
      </c>
      <c r="F48" s="75"/>
      <c r="G48" s="75" t="s">
        <v>31</v>
      </c>
      <c r="H48" s="75" t="s">
        <v>36</v>
      </c>
      <c r="I48" s="75"/>
      <c r="J48" s="75"/>
      <c r="K48" s="75"/>
      <c r="L48" s="76"/>
    </row>
    <row r="49" spans="1:12" ht="21" x14ac:dyDescent="0.25">
      <c r="A49" s="57">
        <v>48</v>
      </c>
      <c r="B49" s="23" t="s">
        <v>46</v>
      </c>
      <c r="C49" s="22"/>
      <c r="D49" s="22"/>
      <c r="E49" s="22"/>
      <c r="F49" s="22"/>
      <c r="G49" s="22"/>
      <c r="H49" s="22"/>
      <c r="I49" s="22"/>
      <c r="J49" s="22"/>
      <c r="K49" s="22"/>
      <c r="L49" s="22"/>
    </row>
    <row r="50" spans="1:12" ht="21" x14ac:dyDescent="0.25">
      <c r="A50" s="57">
        <v>49</v>
      </c>
      <c r="B50" s="24"/>
      <c r="C50" s="22"/>
      <c r="D50" s="22"/>
      <c r="E50" s="22"/>
      <c r="F50" s="22"/>
      <c r="G50" s="22"/>
      <c r="H50" s="22"/>
      <c r="I50" s="22"/>
      <c r="J50" s="22"/>
      <c r="K50" s="22"/>
      <c r="L50" s="22"/>
    </row>
    <row r="51" spans="1:12" ht="21" x14ac:dyDescent="0.25">
      <c r="A51" s="57">
        <v>50</v>
      </c>
      <c r="B51" s="21" t="s">
        <v>15</v>
      </c>
      <c r="C51" s="7">
        <v>0.6785714285714286</v>
      </c>
      <c r="D51" s="8">
        <v>0.6428571428571429</v>
      </c>
      <c r="E51" s="8">
        <v>0.6071428571428571</v>
      </c>
      <c r="F51" s="8">
        <v>0.7142857142857143</v>
      </c>
      <c r="G51" s="8">
        <v>0.6785714285714286</v>
      </c>
      <c r="H51" s="8">
        <v>0.5357142857142857</v>
      </c>
      <c r="I51" s="8">
        <v>0.7142857142857143</v>
      </c>
      <c r="J51" s="8">
        <v>0.6785714285714286</v>
      </c>
      <c r="K51" s="8">
        <v>0.6428571428571429</v>
      </c>
      <c r="L51" s="9">
        <v>0.8214285714285714</v>
      </c>
    </row>
    <row r="52" spans="1:12" ht="21" x14ac:dyDescent="0.25">
      <c r="A52" s="57">
        <v>51</v>
      </c>
      <c r="B52" s="21"/>
      <c r="C52" s="74"/>
      <c r="D52" s="75"/>
      <c r="E52" s="75"/>
      <c r="F52" s="75"/>
      <c r="G52" s="75"/>
      <c r="H52" s="75"/>
      <c r="I52" s="75"/>
      <c r="J52" s="75"/>
      <c r="K52" s="75"/>
      <c r="L52" s="76" t="s">
        <v>231</v>
      </c>
    </row>
    <row r="53" spans="1:12" ht="21" x14ac:dyDescent="0.25">
      <c r="A53" s="57">
        <v>52</v>
      </c>
      <c r="B53" s="21" t="s">
        <v>16</v>
      </c>
      <c r="C53" s="7">
        <v>0.10714285714285714</v>
      </c>
      <c r="D53" s="8">
        <v>0.17857142857142858</v>
      </c>
      <c r="E53" s="8">
        <v>0.14285714285714285</v>
      </c>
      <c r="F53" s="8">
        <v>0.25</v>
      </c>
      <c r="G53" s="8">
        <v>0.17857142857142858</v>
      </c>
      <c r="H53" s="8">
        <v>0.14285714285714285</v>
      </c>
      <c r="I53" s="8">
        <v>0.14285714285714285</v>
      </c>
      <c r="J53" s="8">
        <v>0.17857142857142858</v>
      </c>
      <c r="K53" s="8">
        <v>0.14285714285714285</v>
      </c>
      <c r="L53" s="9">
        <v>3.5714285714285712E-2</v>
      </c>
    </row>
    <row r="54" spans="1:12" ht="21" x14ac:dyDescent="0.25">
      <c r="A54" s="57">
        <v>53</v>
      </c>
      <c r="B54" s="21"/>
      <c r="C54" s="74"/>
      <c r="D54" s="75" t="s">
        <v>36</v>
      </c>
      <c r="E54" s="75"/>
      <c r="F54" s="75" t="s">
        <v>31</v>
      </c>
      <c r="G54" s="75" t="s">
        <v>36</v>
      </c>
      <c r="H54" s="75"/>
      <c r="I54" s="75"/>
      <c r="J54" s="75" t="s">
        <v>36</v>
      </c>
      <c r="K54" s="75"/>
      <c r="L54" s="76"/>
    </row>
    <row r="55" spans="1:12" ht="21" x14ac:dyDescent="0.25">
      <c r="A55" s="57">
        <v>54</v>
      </c>
      <c r="B55" s="25" t="s">
        <v>47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</row>
    <row r="56" spans="1:12" ht="21" x14ac:dyDescent="0.25">
      <c r="A56" s="57">
        <v>55</v>
      </c>
      <c r="B56" s="24"/>
      <c r="C56" s="22"/>
      <c r="D56" s="22"/>
      <c r="E56" s="22"/>
      <c r="F56" s="22"/>
      <c r="G56" s="22"/>
      <c r="H56" s="22"/>
      <c r="I56" s="22"/>
      <c r="J56" s="22"/>
      <c r="K56" s="22"/>
      <c r="L56" s="22"/>
    </row>
    <row r="57" spans="1:12" ht="21" x14ac:dyDescent="0.25">
      <c r="A57" s="57">
        <v>56</v>
      </c>
      <c r="B57" s="26" t="s">
        <v>15</v>
      </c>
      <c r="C57" s="7">
        <v>0.7142857142857143</v>
      </c>
      <c r="D57" s="8">
        <v>0.7142857142857143</v>
      </c>
      <c r="E57" s="8">
        <v>0.7142857142857143</v>
      </c>
      <c r="F57" s="8">
        <v>0.6785714285714286</v>
      </c>
      <c r="G57" s="8">
        <v>0.7142857142857143</v>
      </c>
      <c r="H57" s="8">
        <v>0.75</v>
      </c>
      <c r="I57" s="8">
        <v>0.6785714285714286</v>
      </c>
      <c r="J57" s="8">
        <v>0.7142857142857143</v>
      </c>
      <c r="K57" s="8">
        <v>0.75</v>
      </c>
      <c r="L57" s="9">
        <v>0.8571428571428571</v>
      </c>
    </row>
    <row r="58" spans="1:12" ht="21" x14ac:dyDescent="0.25">
      <c r="A58" s="57">
        <v>57</v>
      </c>
      <c r="B58" s="21"/>
      <c r="C58" s="74"/>
      <c r="D58" s="75"/>
      <c r="E58" s="75"/>
      <c r="F58" s="75"/>
      <c r="G58" s="75"/>
      <c r="H58" s="75"/>
      <c r="I58" s="75"/>
      <c r="J58" s="75"/>
      <c r="K58" s="75"/>
      <c r="L58" s="76"/>
    </row>
    <row r="59" spans="1:12" ht="21" x14ac:dyDescent="0.25">
      <c r="A59" s="57">
        <v>58</v>
      </c>
      <c r="B59" s="21" t="s">
        <v>16</v>
      </c>
      <c r="C59" s="7">
        <v>3.5714285714285712E-2</v>
      </c>
      <c r="D59" s="8">
        <v>3.5714285714285712E-2</v>
      </c>
      <c r="E59" s="8">
        <v>0.14285714285714285</v>
      </c>
      <c r="F59" s="8">
        <v>0.10714285714285714</v>
      </c>
      <c r="G59" s="8">
        <v>0.17857142857142858</v>
      </c>
      <c r="H59" s="8">
        <v>0.14285714285714285</v>
      </c>
      <c r="I59" s="8">
        <v>0.14285714285714285</v>
      </c>
      <c r="J59" s="8">
        <v>0.21428571428571427</v>
      </c>
      <c r="K59" s="8">
        <v>7.1428571428571425E-2</v>
      </c>
      <c r="L59" s="9">
        <v>3.5714285714285712E-2</v>
      </c>
    </row>
    <row r="60" spans="1:12" ht="21" x14ac:dyDescent="0.25">
      <c r="A60" s="57">
        <v>59</v>
      </c>
      <c r="B60" s="21"/>
      <c r="C60" s="74"/>
      <c r="D60" s="75"/>
      <c r="E60" s="75"/>
      <c r="F60" s="75"/>
      <c r="G60" s="75" t="s">
        <v>222</v>
      </c>
      <c r="H60" s="75"/>
      <c r="I60" s="75"/>
      <c r="J60" s="75" t="s">
        <v>217</v>
      </c>
      <c r="K60" s="75"/>
      <c r="L60" s="76"/>
    </row>
    <row r="61" spans="1:12" ht="21" x14ac:dyDescent="0.25">
      <c r="A61" s="57">
        <v>60</v>
      </c>
      <c r="B61" s="23" t="s">
        <v>49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</row>
    <row r="62" spans="1:12" ht="21" x14ac:dyDescent="0.25">
      <c r="A62" s="57">
        <v>61</v>
      </c>
      <c r="B62" s="24"/>
      <c r="C62" s="22"/>
      <c r="D62" s="22"/>
      <c r="E62" s="22"/>
      <c r="F62" s="22"/>
      <c r="G62" s="22"/>
      <c r="H62" s="22"/>
      <c r="I62" s="22"/>
      <c r="J62" s="22"/>
      <c r="K62" s="22"/>
      <c r="L62" s="22"/>
    </row>
    <row r="63" spans="1:12" ht="21" x14ac:dyDescent="0.25">
      <c r="A63" s="57">
        <v>62</v>
      </c>
      <c r="B63" s="21" t="s">
        <v>15</v>
      </c>
      <c r="C63" s="7">
        <v>0.6071428571428571</v>
      </c>
      <c r="D63" s="8">
        <v>0.5</v>
      </c>
      <c r="E63" s="8">
        <v>0.6428571428571429</v>
      </c>
      <c r="F63" s="8">
        <v>0.5</v>
      </c>
      <c r="G63" s="8">
        <v>0.5714285714285714</v>
      </c>
      <c r="H63" s="8">
        <v>0.5</v>
      </c>
      <c r="I63" s="8">
        <v>0.6071428571428571</v>
      </c>
      <c r="J63" s="8">
        <v>0.6071428571428571</v>
      </c>
      <c r="K63" s="8">
        <v>0.7142857142857143</v>
      </c>
      <c r="L63" s="9">
        <v>0.7857142857142857</v>
      </c>
    </row>
    <row r="64" spans="1:12" ht="21" x14ac:dyDescent="0.25">
      <c r="A64" s="57">
        <v>63</v>
      </c>
      <c r="B64" s="21"/>
      <c r="C64" s="74"/>
      <c r="D64" s="75"/>
      <c r="E64" s="75"/>
      <c r="F64" s="75"/>
      <c r="G64" s="75"/>
      <c r="H64" s="75"/>
      <c r="I64" s="75"/>
      <c r="J64" s="75"/>
      <c r="K64" s="75"/>
      <c r="L64" s="76" t="s">
        <v>232</v>
      </c>
    </row>
    <row r="65" spans="1:12" ht="21" x14ac:dyDescent="0.25">
      <c r="A65" s="57">
        <v>64</v>
      </c>
      <c r="B65" s="21" t="s">
        <v>16</v>
      </c>
      <c r="C65" s="7">
        <v>0.21428571428571427</v>
      </c>
      <c r="D65" s="8">
        <v>0.25</v>
      </c>
      <c r="E65" s="8">
        <v>0.25</v>
      </c>
      <c r="F65" s="8">
        <v>0.21428571428571427</v>
      </c>
      <c r="G65" s="8">
        <v>0.25</v>
      </c>
      <c r="H65" s="8">
        <v>0.21428571428571427</v>
      </c>
      <c r="I65" s="8">
        <v>0.21428571428571427</v>
      </c>
      <c r="J65" s="8">
        <v>0.17857142857142858</v>
      </c>
      <c r="K65" s="8">
        <v>0.21428571428571427</v>
      </c>
      <c r="L65" s="9">
        <v>3.5714285714285712E-2</v>
      </c>
    </row>
    <row r="66" spans="1:12" ht="21" x14ac:dyDescent="0.25">
      <c r="A66" s="57">
        <v>65</v>
      </c>
      <c r="B66" s="21"/>
      <c r="C66" s="74" t="s">
        <v>31</v>
      </c>
      <c r="D66" s="75" t="s">
        <v>31</v>
      </c>
      <c r="E66" s="75" t="s">
        <v>31</v>
      </c>
      <c r="F66" s="75" t="s">
        <v>31</v>
      </c>
      <c r="G66" s="75" t="s">
        <v>31</v>
      </c>
      <c r="H66" s="75" t="s">
        <v>31</v>
      </c>
      <c r="I66" s="75" t="s">
        <v>31</v>
      </c>
      <c r="J66" s="75" t="s">
        <v>36</v>
      </c>
      <c r="K66" s="75" t="s">
        <v>31</v>
      </c>
      <c r="L66" s="76"/>
    </row>
    <row r="67" spans="1:12" ht="24" x14ac:dyDescent="0.25">
      <c r="A67" s="57">
        <v>66</v>
      </c>
      <c r="B67" s="23" t="s">
        <v>50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</row>
    <row r="68" spans="1:12" ht="21" x14ac:dyDescent="0.25">
      <c r="A68" s="57">
        <v>67</v>
      </c>
      <c r="B68" s="24"/>
      <c r="C68" s="22"/>
      <c r="D68" s="22"/>
      <c r="E68" s="22"/>
      <c r="F68" s="22"/>
      <c r="G68" s="22"/>
      <c r="H68" s="22"/>
      <c r="I68" s="22"/>
      <c r="J68" s="22"/>
      <c r="K68" s="22"/>
      <c r="L68" s="22"/>
    </row>
    <row r="69" spans="1:12" ht="21" x14ac:dyDescent="0.25">
      <c r="A69" s="57">
        <v>68</v>
      </c>
      <c r="B69" s="21" t="s">
        <v>15</v>
      </c>
      <c r="C69" s="7">
        <v>0.6785714285714286</v>
      </c>
      <c r="D69" s="8">
        <v>0.6785714285714286</v>
      </c>
      <c r="E69" s="8">
        <v>0.6428571428571429</v>
      </c>
      <c r="F69" s="8">
        <v>0.6071428571428571</v>
      </c>
      <c r="G69" s="8">
        <v>0.6071428571428571</v>
      </c>
      <c r="H69" s="8">
        <v>0.6071428571428571</v>
      </c>
      <c r="I69" s="8">
        <v>0.7142857142857143</v>
      </c>
      <c r="J69" s="8">
        <v>0.7142857142857143</v>
      </c>
      <c r="K69" s="8">
        <v>0.7857142857142857</v>
      </c>
      <c r="L69" s="9">
        <v>0.8928571428571429</v>
      </c>
    </row>
    <row r="70" spans="1:12" ht="24" x14ac:dyDescent="0.25">
      <c r="A70" s="57">
        <v>69</v>
      </c>
      <c r="B70" s="21"/>
      <c r="C70" s="74"/>
      <c r="D70" s="75"/>
      <c r="E70" s="75"/>
      <c r="F70" s="75"/>
      <c r="G70" s="75"/>
      <c r="H70" s="75"/>
      <c r="I70" s="75"/>
      <c r="J70" s="75"/>
      <c r="K70" s="75"/>
      <c r="L70" s="76" t="s">
        <v>233</v>
      </c>
    </row>
    <row r="71" spans="1:12" ht="21" x14ac:dyDescent="0.25">
      <c r="A71" s="57">
        <v>70</v>
      </c>
      <c r="B71" s="21" t="s">
        <v>16</v>
      </c>
      <c r="C71" s="7">
        <v>0.10714285714285714</v>
      </c>
      <c r="D71" s="8">
        <v>0.14285714285714285</v>
      </c>
      <c r="E71" s="8">
        <v>0.14285714285714285</v>
      </c>
      <c r="F71" s="8">
        <v>7.1428571428571425E-2</v>
      </c>
      <c r="G71" s="8">
        <v>0.14285714285714285</v>
      </c>
      <c r="H71" s="8">
        <v>0.14285714285714285</v>
      </c>
      <c r="I71" s="8">
        <v>0.17857142857142858</v>
      </c>
      <c r="J71" s="8">
        <v>0.14285714285714285</v>
      </c>
      <c r="K71" s="8">
        <v>0.10714285714285714</v>
      </c>
      <c r="L71" s="9">
        <v>3.5714285714285712E-2</v>
      </c>
    </row>
    <row r="72" spans="1:12" ht="21" x14ac:dyDescent="0.25">
      <c r="A72" s="57">
        <v>71</v>
      </c>
      <c r="B72" s="21"/>
      <c r="C72" s="74"/>
      <c r="D72" s="75"/>
      <c r="E72" s="75"/>
      <c r="F72" s="75"/>
      <c r="G72" s="75"/>
      <c r="H72" s="75"/>
      <c r="I72" s="75" t="s">
        <v>36</v>
      </c>
      <c r="J72" s="75"/>
      <c r="K72" s="75"/>
      <c r="L72" s="76"/>
    </row>
    <row r="73" spans="1:12" ht="24" x14ac:dyDescent="0.25">
      <c r="A73" s="57">
        <v>72</v>
      </c>
      <c r="B73" s="23" t="s">
        <v>51</v>
      </c>
      <c r="C73" s="22"/>
      <c r="D73" s="22"/>
      <c r="E73" s="22"/>
      <c r="F73" s="22"/>
      <c r="G73" s="22"/>
      <c r="H73" s="22"/>
      <c r="I73" s="22"/>
      <c r="J73" s="22"/>
      <c r="K73" s="22"/>
      <c r="L73" s="22"/>
    </row>
    <row r="74" spans="1:12" ht="21" x14ac:dyDescent="0.25">
      <c r="A74" s="57">
        <v>73</v>
      </c>
      <c r="B74" s="24"/>
      <c r="C74" s="22"/>
      <c r="D74" s="22"/>
      <c r="E74" s="22"/>
      <c r="F74" s="22"/>
      <c r="G74" s="22"/>
      <c r="H74" s="22"/>
      <c r="I74" s="22"/>
      <c r="J74" s="22"/>
      <c r="K74" s="22"/>
      <c r="L74" s="22"/>
    </row>
    <row r="75" spans="1:12" ht="21" x14ac:dyDescent="0.25">
      <c r="A75" s="57">
        <v>74</v>
      </c>
      <c r="B75" s="21" t="s">
        <v>15</v>
      </c>
      <c r="C75" s="7">
        <v>0.6428571428571429</v>
      </c>
      <c r="D75" s="8">
        <v>0.6071428571428571</v>
      </c>
      <c r="E75" s="8">
        <v>0.7142857142857143</v>
      </c>
      <c r="F75" s="8">
        <v>0.6428571428571429</v>
      </c>
      <c r="G75" s="8">
        <v>0.75</v>
      </c>
      <c r="H75" s="8">
        <v>0.5714285714285714</v>
      </c>
      <c r="I75" s="8">
        <v>0.6428571428571429</v>
      </c>
      <c r="J75" s="8">
        <v>0.75</v>
      </c>
      <c r="K75" s="8">
        <v>0.75</v>
      </c>
      <c r="L75" s="9">
        <v>0.8928571428571429</v>
      </c>
    </row>
    <row r="76" spans="1:12" ht="24" x14ac:dyDescent="0.25">
      <c r="A76" s="57">
        <v>75</v>
      </c>
      <c r="B76" s="21"/>
      <c r="C76" s="74"/>
      <c r="D76" s="75"/>
      <c r="E76" s="75"/>
      <c r="F76" s="75"/>
      <c r="G76" s="75"/>
      <c r="H76" s="75"/>
      <c r="I76" s="75"/>
      <c r="J76" s="75"/>
      <c r="K76" s="75"/>
      <c r="L76" s="76" t="s">
        <v>234</v>
      </c>
    </row>
    <row r="77" spans="1:12" ht="21" x14ac:dyDescent="0.25">
      <c r="A77" s="57">
        <v>76</v>
      </c>
      <c r="B77" s="21" t="s">
        <v>16</v>
      </c>
      <c r="C77" s="7">
        <v>0.17857142857142858</v>
      </c>
      <c r="D77" s="8">
        <v>0.10714285714285714</v>
      </c>
      <c r="E77" s="8">
        <v>7.1428571428571425E-2</v>
      </c>
      <c r="F77" s="8">
        <v>0.21428571428571427</v>
      </c>
      <c r="G77" s="8">
        <v>0.14285714285714285</v>
      </c>
      <c r="H77" s="8">
        <v>0.10714285714285714</v>
      </c>
      <c r="I77" s="8">
        <v>0.14285714285714285</v>
      </c>
      <c r="J77" s="8">
        <v>0.14285714285714285</v>
      </c>
      <c r="K77" s="8">
        <v>7.1428571428571425E-2</v>
      </c>
      <c r="L77" s="9">
        <v>0</v>
      </c>
    </row>
    <row r="78" spans="1:12" ht="21" x14ac:dyDescent="0.25">
      <c r="A78" s="57">
        <v>77</v>
      </c>
      <c r="B78" s="21"/>
      <c r="C78" s="74"/>
      <c r="D78" s="75"/>
      <c r="E78" s="75"/>
      <c r="F78" s="75"/>
      <c r="G78" s="75"/>
      <c r="H78" s="75"/>
      <c r="I78" s="75"/>
      <c r="J78" s="75"/>
      <c r="K78" s="75"/>
      <c r="L78" s="76"/>
    </row>
    <row r="79" spans="1:12" ht="21.75" thickBot="1" x14ac:dyDescent="0.3">
      <c r="A79" s="57">
        <v>78</v>
      </c>
      <c r="B79" s="18" t="s">
        <v>52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</row>
    <row r="80" spans="1:12" ht="21.75" thickBot="1" x14ac:dyDescent="0.3">
      <c r="A80" s="57">
        <v>79</v>
      </c>
      <c r="B80" s="28" t="s">
        <v>53</v>
      </c>
      <c r="C80" s="7">
        <v>7.1428571428571425E-2</v>
      </c>
      <c r="D80" s="8">
        <v>0.10714285714285714</v>
      </c>
      <c r="E80" s="8">
        <v>0.17857142857142858</v>
      </c>
      <c r="F80" s="8">
        <v>7.1428571428571425E-2</v>
      </c>
      <c r="G80" s="8">
        <v>0.14285714285714285</v>
      </c>
      <c r="H80" s="8">
        <v>0.10714285714285714</v>
      </c>
      <c r="I80" s="8">
        <v>0.10714285714285714</v>
      </c>
      <c r="J80" s="8">
        <v>0.10714285714285714</v>
      </c>
      <c r="K80" s="8">
        <v>0.10714285714285714</v>
      </c>
      <c r="L80" s="9">
        <v>3.5714285714285712E-2</v>
      </c>
    </row>
    <row r="81" spans="1:12" ht="21.75" thickBot="1" x14ac:dyDescent="0.3">
      <c r="A81" s="57">
        <v>80</v>
      </c>
      <c r="B81" s="29" t="s">
        <v>53</v>
      </c>
      <c r="C81" s="74"/>
      <c r="D81" s="75"/>
      <c r="E81" s="75" t="s">
        <v>36</v>
      </c>
      <c r="F81" s="75"/>
      <c r="G81" s="75"/>
      <c r="H81" s="75"/>
      <c r="I81" s="75"/>
      <c r="J81" s="75"/>
      <c r="K81" s="75"/>
      <c r="L81" s="76"/>
    </row>
    <row r="82" spans="1:12" ht="21.75" thickBot="1" x14ac:dyDescent="0.3">
      <c r="A82" s="57">
        <v>81</v>
      </c>
      <c r="B82" s="29" t="s">
        <v>54</v>
      </c>
      <c r="C82" s="7">
        <v>0.42857142857142855</v>
      </c>
      <c r="D82" s="8">
        <v>0.2857142857142857</v>
      </c>
      <c r="E82" s="8">
        <v>0.21428571428571427</v>
      </c>
      <c r="F82" s="8">
        <v>0.32142857142857145</v>
      </c>
      <c r="G82" s="8">
        <v>0.21428571428571427</v>
      </c>
      <c r="H82" s="8">
        <v>0.21428571428571427</v>
      </c>
      <c r="I82" s="8">
        <v>0.25</v>
      </c>
      <c r="J82" s="8">
        <v>0.39285714285714285</v>
      </c>
      <c r="K82" s="8">
        <v>0.2857142857142857</v>
      </c>
      <c r="L82" s="9">
        <v>0.21428571428571427</v>
      </c>
    </row>
    <row r="83" spans="1:12" ht="21.75" thickBot="1" x14ac:dyDescent="0.3">
      <c r="A83" s="57">
        <v>82</v>
      </c>
      <c r="B83" s="29" t="s">
        <v>54</v>
      </c>
      <c r="C83" s="74" t="s">
        <v>235</v>
      </c>
      <c r="D83" s="75"/>
      <c r="E83" s="75"/>
      <c r="F83" s="75"/>
      <c r="G83" s="75"/>
      <c r="H83" s="75"/>
      <c r="I83" s="75"/>
      <c r="J83" s="75"/>
      <c r="K83" s="75"/>
      <c r="L83" s="76"/>
    </row>
    <row r="84" spans="1:12" ht="21.75" thickBot="1" x14ac:dyDescent="0.3">
      <c r="A84" s="57">
        <v>83</v>
      </c>
      <c r="B84" s="29" t="s">
        <v>55</v>
      </c>
      <c r="C84" s="7">
        <v>0.10714285714285714</v>
      </c>
      <c r="D84" s="8">
        <v>0.17857142857142858</v>
      </c>
      <c r="E84" s="8">
        <v>0.21428571428571427</v>
      </c>
      <c r="F84" s="8">
        <v>0.17857142857142858</v>
      </c>
      <c r="G84" s="8">
        <v>7.1428571428571425E-2</v>
      </c>
      <c r="H84" s="8">
        <v>0.17857142857142858</v>
      </c>
      <c r="I84" s="8">
        <v>0.10714285714285714</v>
      </c>
      <c r="J84" s="8">
        <v>0.10714285714285714</v>
      </c>
      <c r="K84" s="8">
        <v>0.17857142857142858</v>
      </c>
      <c r="L84" s="9">
        <v>0.25</v>
      </c>
    </row>
    <row r="85" spans="1:12" ht="21.75" thickBot="1" x14ac:dyDescent="0.3">
      <c r="A85" s="57">
        <v>84</v>
      </c>
      <c r="B85" s="29" t="s">
        <v>55</v>
      </c>
      <c r="C85" s="74"/>
      <c r="D85" s="75"/>
      <c r="E85" s="75"/>
      <c r="F85" s="75"/>
      <c r="G85" s="75"/>
      <c r="H85" s="75"/>
      <c r="I85" s="75"/>
      <c r="J85" s="75"/>
      <c r="K85" s="75"/>
      <c r="L85" s="76" t="s">
        <v>35</v>
      </c>
    </row>
    <row r="86" spans="1:12" ht="21.75" thickBot="1" x14ac:dyDescent="0.3">
      <c r="A86" s="57">
        <v>85</v>
      </c>
      <c r="B86" s="29" t="s">
        <v>56</v>
      </c>
      <c r="C86" s="7">
        <v>3.5714285714285712E-2</v>
      </c>
      <c r="D86" s="8">
        <v>3.5714285714285712E-2</v>
      </c>
      <c r="E86" s="8">
        <v>0.10714285714285714</v>
      </c>
      <c r="F86" s="8">
        <v>3.5714285714285712E-2</v>
      </c>
      <c r="G86" s="8">
        <v>7.1428571428571425E-2</v>
      </c>
      <c r="H86" s="8">
        <v>7.1428571428571425E-2</v>
      </c>
      <c r="I86" s="8">
        <v>7.1428571428571425E-2</v>
      </c>
      <c r="J86" s="8">
        <v>7.1428571428571425E-2</v>
      </c>
      <c r="K86" s="8">
        <v>3.5714285714285712E-2</v>
      </c>
      <c r="L86" s="9">
        <v>0</v>
      </c>
    </row>
    <row r="87" spans="1:12" ht="21.75" thickBot="1" x14ac:dyDescent="0.3">
      <c r="A87" s="57">
        <v>86</v>
      </c>
      <c r="B87" s="29" t="s">
        <v>56</v>
      </c>
      <c r="C87" s="74"/>
      <c r="D87" s="75"/>
      <c r="E87" s="75"/>
      <c r="F87" s="75"/>
      <c r="G87" s="75"/>
      <c r="H87" s="75"/>
      <c r="I87" s="75"/>
      <c r="J87" s="75"/>
      <c r="K87" s="75"/>
      <c r="L87" s="76"/>
    </row>
    <row r="88" spans="1:12" ht="21.75" thickBot="1" x14ac:dyDescent="0.3">
      <c r="A88" s="57">
        <v>87</v>
      </c>
      <c r="B88" s="29" t="s">
        <v>57</v>
      </c>
      <c r="C88" s="7">
        <v>0.10714285714285714</v>
      </c>
      <c r="D88" s="8">
        <v>0.14285714285714285</v>
      </c>
      <c r="E88" s="8">
        <v>0.14285714285714285</v>
      </c>
      <c r="F88" s="8">
        <v>0.10714285714285714</v>
      </c>
      <c r="G88" s="8">
        <v>0.10714285714285714</v>
      </c>
      <c r="H88" s="8">
        <v>0</v>
      </c>
      <c r="I88" s="8">
        <v>0.14285714285714285</v>
      </c>
      <c r="J88" s="8">
        <v>0.10714285714285714</v>
      </c>
      <c r="K88" s="8">
        <v>7.1428571428571425E-2</v>
      </c>
      <c r="L88" s="9">
        <v>0.17857142857142858</v>
      </c>
    </row>
    <row r="89" spans="1:12" ht="21.75" thickBot="1" x14ac:dyDescent="0.3">
      <c r="A89" s="57">
        <v>88</v>
      </c>
      <c r="B89" s="29" t="s">
        <v>57</v>
      </c>
      <c r="C89" s="74"/>
      <c r="D89" s="75"/>
      <c r="E89" s="75"/>
      <c r="F89" s="75"/>
      <c r="G89" s="75"/>
      <c r="H89" s="75"/>
      <c r="I89" s="75"/>
      <c r="J89" s="75"/>
      <c r="K89" s="75"/>
      <c r="L89" s="76"/>
    </row>
    <row r="90" spans="1:12" ht="21.75" thickBot="1" x14ac:dyDescent="0.3">
      <c r="A90" s="57">
        <v>89</v>
      </c>
      <c r="B90" s="29" t="s">
        <v>58</v>
      </c>
      <c r="C90" s="7">
        <v>7.1428571428571425E-2</v>
      </c>
      <c r="D90" s="8">
        <v>0</v>
      </c>
      <c r="E90" s="8">
        <v>7.1428571428571425E-2</v>
      </c>
      <c r="F90" s="8">
        <v>7.1428571428571425E-2</v>
      </c>
      <c r="G90" s="8">
        <v>7.1428571428571425E-2</v>
      </c>
      <c r="H90" s="8">
        <v>0</v>
      </c>
      <c r="I90" s="8">
        <v>0</v>
      </c>
      <c r="J90" s="8">
        <v>3.5714285714285712E-2</v>
      </c>
      <c r="K90" s="8">
        <v>7.1428571428571425E-2</v>
      </c>
      <c r="L90" s="9">
        <v>3.5714285714285712E-2</v>
      </c>
    </row>
    <row r="91" spans="1:12" ht="21.75" thickBot="1" x14ac:dyDescent="0.3">
      <c r="A91" s="57">
        <v>90</v>
      </c>
      <c r="B91" s="29" t="s">
        <v>58</v>
      </c>
      <c r="C91" s="74"/>
      <c r="D91" s="75"/>
      <c r="E91" s="75"/>
      <c r="F91" s="75"/>
      <c r="G91" s="75"/>
      <c r="H91" s="75"/>
      <c r="I91" s="75"/>
      <c r="J91" s="75"/>
      <c r="K91" s="75"/>
      <c r="L91" s="76"/>
    </row>
    <row r="92" spans="1:12" ht="21.75" thickBot="1" x14ac:dyDescent="0.3">
      <c r="A92" s="57">
        <v>91</v>
      </c>
      <c r="B92" s="29" t="s">
        <v>59</v>
      </c>
      <c r="C92" s="7">
        <v>0.25</v>
      </c>
      <c r="D92" s="8">
        <v>0.14285714285714285</v>
      </c>
      <c r="E92" s="8">
        <v>0.17857142857142858</v>
      </c>
      <c r="F92" s="8">
        <v>0.14285714285714285</v>
      </c>
      <c r="G92" s="8">
        <v>0.10714285714285714</v>
      </c>
      <c r="H92" s="8">
        <v>0.17857142857142858</v>
      </c>
      <c r="I92" s="8">
        <v>3.5714285714285712E-2</v>
      </c>
      <c r="J92" s="8">
        <v>0.21428571428571427</v>
      </c>
      <c r="K92" s="8">
        <v>0.14285714285714285</v>
      </c>
      <c r="L92" s="9">
        <v>0.2857142857142857</v>
      </c>
    </row>
    <row r="93" spans="1:12" ht="21.75" thickBot="1" x14ac:dyDescent="0.3">
      <c r="A93" s="57">
        <v>92</v>
      </c>
      <c r="B93" s="29" t="s">
        <v>59</v>
      </c>
      <c r="C93" s="74" t="s">
        <v>28</v>
      </c>
      <c r="D93" s="75"/>
      <c r="E93" s="75" t="s">
        <v>91</v>
      </c>
      <c r="F93" s="75"/>
      <c r="G93" s="75"/>
      <c r="H93" s="75" t="s">
        <v>91</v>
      </c>
      <c r="I93" s="75"/>
      <c r="J93" s="75" t="s">
        <v>28</v>
      </c>
      <c r="K93" s="75"/>
      <c r="L93" s="76" t="s">
        <v>236</v>
      </c>
    </row>
    <row r="94" spans="1:12" ht="21.75" thickBot="1" x14ac:dyDescent="0.3">
      <c r="A94" s="57">
        <v>93</v>
      </c>
      <c r="B94" s="30" t="s">
        <v>60</v>
      </c>
      <c r="C94" s="7">
        <v>0.6071428571428571</v>
      </c>
      <c r="D94" s="8">
        <v>0.6071428571428571</v>
      </c>
      <c r="E94" s="8">
        <v>0.6428571428571429</v>
      </c>
      <c r="F94" s="8">
        <v>0.4642857142857143</v>
      </c>
      <c r="G94" s="8">
        <v>0.5714285714285714</v>
      </c>
      <c r="H94" s="8">
        <v>0.6071428571428571</v>
      </c>
      <c r="I94" s="8">
        <v>0.5</v>
      </c>
      <c r="J94" s="8">
        <v>0.5357142857142857</v>
      </c>
      <c r="K94" s="8">
        <v>0.6785714285714286</v>
      </c>
      <c r="L94" s="9">
        <v>0.6785714285714286</v>
      </c>
    </row>
    <row r="95" spans="1:12" ht="21.75" thickBot="1" x14ac:dyDescent="0.3">
      <c r="A95" s="57">
        <v>94</v>
      </c>
      <c r="B95" s="31" t="s">
        <v>60</v>
      </c>
      <c r="C95" s="74"/>
      <c r="D95" s="75"/>
      <c r="E95" s="75"/>
      <c r="F95" s="75"/>
      <c r="G95" s="75"/>
      <c r="H95" s="75"/>
      <c r="I95" s="75"/>
      <c r="J95" s="75"/>
      <c r="K95" s="75"/>
      <c r="L95" s="76"/>
    </row>
    <row r="96" spans="1:12" ht="21.75" thickBot="1" x14ac:dyDescent="0.3">
      <c r="A96" s="57">
        <v>95</v>
      </c>
      <c r="B96" s="31" t="s">
        <v>62</v>
      </c>
      <c r="C96" s="7">
        <v>7.1428571428571425E-2</v>
      </c>
      <c r="D96" s="8">
        <v>0.14285714285714285</v>
      </c>
      <c r="E96" s="8">
        <v>3.5714285714285712E-2</v>
      </c>
      <c r="F96" s="8">
        <v>0.14285714285714285</v>
      </c>
      <c r="G96" s="8">
        <v>7.1428571428571425E-2</v>
      </c>
      <c r="H96" s="8">
        <v>3.5714285714285712E-2</v>
      </c>
      <c r="I96" s="8">
        <v>0.14285714285714285</v>
      </c>
      <c r="J96" s="8">
        <v>0.10714285714285714</v>
      </c>
      <c r="K96" s="8">
        <v>0.17857142857142858</v>
      </c>
      <c r="L96" s="9">
        <v>0.21428571428571427</v>
      </c>
    </row>
    <row r="97" spans="1:12" ht="21.75" thickBot="1" x14ac:dyDescent="0.3">
      <c r="A97" s="57">
        <v>96</v>
      </c>
      <c r="B97" s="31" t="s">
        <v>62</v>
      </c>
      <c r="C97" s="74"/>
      <c r="D97" s="75"/>
      <c r="E97" s="75"/>
      <c r="F97" s="75"/>
      <c r="G97" s="75"/>
      <c r="H97" s="75"/>
      <c r="I97" s="75"/>
      <c r="J97" s="75"/>
      <c r="K97" s="75" t="s">
        <v>211</v>
      </c>
      <c r="L97" s="76" t="s">
        <v>218</v>
      </c>
    </row>
    <row r="98" spans="1:12" ht="21.75" thickBot="1" x14ac:dyDescent="0.3">
      <c r="A98" s="57">
        <v>97</v>
      </c>
      <c r="B98" s="31" t="s">
        <v>63</v>
      </c>
      <c r="C98" s="7">
        <v>0</v>
      </c>
      <c r="D98" s="8">
        <v>3.5714285714285712E-2</v>
      </c>
      <c r="E98" s="8">
        <v>0</v>
      </c>
      <c r="F98" s="8">
        <v>3.5714285714285712E-2</v>
      </c>
      <c r="G98" s="8">
        <v>3.5714285714285712E-2</v>
      </c>
      <c r="H98" s="8">
        <v>0</v>
      </c>
      <c r="I98" s="8">
        <v>0</v>
      </c>
      <c r="J98" s="8">
        <v>0</v>
      </c>
      <c r="K98" s="8">
        <v>0</v>
      </c>
      <c r="L98" s="9">
        <v>0</v>
      </c>
    </row>
    <row r="99" spans="1:12" ht="21.75" thickBot="1" x14ac:dyDescent="0.3">
      <c r="A99" s="57">
        <v>98</v>
      </c>
      <c r="B99" s="31" t="s">
        <v>63</v>
      </c>
      <c r="C99" s="74"/>
      <c r="D99" s="75"/>
      <c r="E99" s="75"/>
      <c r="F99" s="75"/>
      <c r="G99" s="75"/>
      <c r="H99" s="75"/>
      <c r="I99" s="75"/>
      <c r="J99" s="75"/>
      <c r="K99" s="75"/>
      <c r="L99" s="76"/>
    </row>
    <row r="100" spans="1:12" ht="21.75" thickBot="1" x14ac:dyDescent="0.3">
      <c r="A100" s="57">
        <v>99</v>
      </c>
      <c r="B100" s="31" t="s">
        <v>64</v>
      </c>
      <c r="C100" s="7">
        <v>0.5</v>
      </c>
      <c r="D100" s="8">
        <v>0.35714285714285715</v>
      </c>
      <c r="E100" s="8">
        <v>0.14285714285714285</v>
      </c>
      <c r="F100" s="8">
        <v>0.4642857142857143</v>
      </c>
      <c r="G100" s="8">
        <v>0.39285714285714285</v>
      </c>
      <c r="H100" s="8">
        <v>0.2857142857142857</v>
      </c>
      <c r="I100" s="8">
        <v>0.42857142857142855</v>
      </c>
      <c r="J100" s="8">
        <v>0.25</v>
      </c>
      <c r="K100" s="8">
        <v>0.21428571428571427</v>
      </c>
      <c r="L100" s="9">
        <v>0.21428571428571427</v>
      </c>
    </row>
    <row r="101" spans="1:12" ht="21.75" thickBot="1" x14ac:dyDescent="0.3">
      <c r="A101" s="57">
        <v>100</v>
      </c>
      <c r="B101" s="31" t="s">
        <v>64</v>
      </c>
      <c r="C101" s="74" t="s">
        <v>237</v>
      </c>
      <c r="D101" s="75" t="s">
        <v>40</v>
      </c>
      <c r="E101" s="75"/>
      <c r="F101" s="75" t="s">
        <v>237</v>
      </c>
      <c r="G101" s="75" t="s">
        <v>24</v>
      </c>
      <c r="H101" s="75"/>
      <c r="I101" s="75" t="s">
        <v>238</v>
      </c>
      <c r="J101" s="75"/>
      <c r="K101" s="75"/>
      <c r="L101" s="76"/>
    </row>
    <row r="102" spans="1:12" ht="21.75" thickBot="1" x14ac:dyDescent="0.3">
      <c r="A102" s="57">
        <v>101</v>
      </c>
      <c r="B102" s="31" t="s">
        <v>65</v>
      </c>
      <c r="C102" s="7">
        <v>0.25</v>
      </c>
      <c r="D102" s="8">
        <v>0.32142857142857145</v>
      </c>
      <c r="E102" s="8">
        <v>0.17857142857142858</v>
      </c>
      <c r="F102" s="8">
        <v>0.17857142857142858</v>
      </c>
      <c r="G102" s="8">
        <v>0.17857142857142858</v>
      </c>
      <c r="H102" s="8">
        <v>0.32142857142857145</v>
      </c>
      <c r="I102" s="8">
        <v>0.35714285714285715</v>
      </c>
      <c r="J102" s="8">
        <v>0.32142857142857145</v>
      </c>
      <c r="K102" s="8">
        <v>0.4642857142857143</v>
      </c>
      <c r="L102" s="9">
        <v>0.35714285714285715</v>
      </c>
    </row>
    <row r="103" spans="1:12" ht="21.75" thickBot="1" x14ac:dyDescent="0.3">
      <c r="A103" s="57">
        <v>102</v>
      </c>
      <c r="B103" s="31" t="s">
        <v>65</v>
      </c>
      <c r="C103" s="74"/>
      <c r="D103" s="75"/>
      <c r="E103" s="75"/>
      <c r="F103" s="75"/>
      <c r="G103" s="75"/>
      <c r="H103" s="75"/>
      <c r="I103" s="75"/>
      <c r="J103" s="75"/>
      <c r="K103" s="75" t="s">
        <v>239</v>
      </c>
      <c r="L103" s="76"/>
    </row>
    <row r="104" spans="1:12" ht="21.75" thickBot="1" x14ac:dyDescent="0.3">
      <c r="A104" s="57">
        <v>103</v>
      </c>
      <c r="B104" s="31" t="s">
        <v>66</v>
      </c>
      <c r="C104" s="7">
        <v>0.10714285714285714</v>
      </c>
      <c r="D104" s="8">
        <v>0.10714285714285714</v>
      </c>
      <c r="E104" s="8">
        <v>0.10714285714285714</v>
      </c>
      <c r="F104" s="8">
        <v>0.14285714285714285</v>
      </c>
      <c r="G104" s="8">
        <v>3.5714285714285712E-2</v>
      </c>
      <c r="H104" s="8">
        <v>0.10714285714285714</v>
      </c>
      <c r="I104" s="8">
        <v>0.17857142857142858</v>
      </c>
      <c r="J104" s="8">
        <v>0.14285714285714285</v>
      </c>
      <c r="K104" s="8">
        <v>7.1428571428571425E-2</v>
      </c>
      <c r="L104" s="9">
        <v>0.17857142857142858</v>
      </c>
    </row>
    <row r="105" spans="1:12" ht="21.75" thickBot="1" x14ac:dyDescent="0.3">
      <c r="A105" s="57">
        <v>104</v>
      </c>
      <c r="B105" s="31" t="s">
        <v>66</v>
      </c>
      <c r="C105" s="74"/>
      <c r="D105" s="75"/>
      <c r="E105" s="75"/>
      <c r="F105" s="75"/>
      <c r="G105" s="75"/>
      <c r="H105" s="75"/>
      <c r="I105" s="75" t="s">
        <v>35</v>
      </c>
      <c r="J105" s="75"/>
      <c r="K105" s="75"/>
      <c r="L105" s="76" t="s">
        <v>35</v>
      </c>
    </row>
    <row r="106" spans="1:12" ht="21.75" thickBot="1" x14ac:dyDescent="0.3">
      <c r="A106" s="57">
        <v>105</v>
      </c>
      <c r="B106" s="31" t="s">
        <v>67</v>
      </c>
      <c r="C106" s="7">
        <v>0.14285714285714285</v>
      </c>
      <c r="D106" s="8">
        <v>0.14285714285714285</v>
      </c>
      <c r="E106" s="8">
        <v>3.5714285714285712E-2</v>
      </c>
      <c r="F106" s="8">
        <v>3.5714285714285712E-2</v>
      </c>
      <c r="G106" s="8">
        <v>7.1428571428571425E-2</v>
      </c>
      <c r="H106" s="8">
        <v>7.1428571428571425E-2</v>
      </c>
      <c r="I106" s="8">
        <v>0.17857142857142858</v>
      </c>
      <c r="J106" s="8">
        <v>3.5714285714285712E-2</v>
      </c>
      <c r="K106" s="8">
        <v>0.14285714285714285</v>
      </c>
      <c r="L106" s="9">
        <v>0.10714285714285714</v>
      </c>
    </row>
    <row r="107" spans="1:12" ht="21.75" thickBot="1" x14ac:dyDescent="0.3">
      <c r="A107" s="57">
        <v>106</v>
      </c>
      <c r="B107" s="31" t="s">
        <v>67</v>
      </c>
      <c r="C107" s="74"/>
      <c r="D107" s="75"/>
      <c r="E107" s="75"/>
      <c r="F107" s="75"/>
      <c r="G107" s="75"/>
      <c r="H107" s="75"/>
      <c r="I107" s="75" t="s">
        <v>240</v>
      </c>
      <c r="J107" s="75"/>
      <c r="K107" s="75"/>
      <c r="L107" s="76"/>
    </row>
    <row r="108" spans="1:12" ht="21.75" thickBot="1" x14ac:dyDescent="0.3">
      <c r="A108" s="57">
        <v>107</v>
      </c>
      <c r="B108" s="30" t="s">
        <v>68</v>
      </c>
      <c r="C108" s="7">
        <v>0.25</v>
      </c>
      <c r="D108" s="8">
        <v>0.35714285714285715</v>
      </c>
      <c r="E108" s="8">
        <v>0.39285714285714285</v>
      </c>
      <c r="F108" s="8">
        <v>0.32142857142857145</v>
      </c>
      <c r="G108" s="8">
        <v>0.39285714285714285</v>
      </c>
      <c r="H108" s="8">
        <v>0.32142857142857145</v>
      </c>
      <c r="I108" s="8">
        <v>0.2857142857142857</v>
      </c>
      <c r="J108" s="8">
        <v>0.32142857142857145</v>
      </c>
      <c r="K108" s="8">
        <v>0.25</v>
      </c>
      <c r="L108" s="9">
        <v>0.4642857142857143</v>
      </c>
    </row>
    <row r="109" spans="1:12" ht="21.75" thickBot="1" x14ac:dyDescent="0.3">
      <c r="A109" s="57">
        <v>108</v>
      </c>
      <c r="B109" s="31" t="s">
        <v>68</v>
      </c>
      <c r="C109" s="74"/>
      <c r="D109" s="75"/>
      <c r="E109" s="75"/>
      <c r="F109" s="75"/>
      <c r="G109" s="75"/>
      <c r="H109" s="75"/>
      <c r="I109" s="75"/>
      <c r="J109" s="75"/>
      <c r="K109" s="75"/>
      <c r="L109" s="76" t="s">
        <v>241</v>
      </c>
    </row>
    <row r="110" spans="1:12" ht="21.75" thickBot="1" x14ac:dyDescent="0.3">
      <c r="A110" s="57">
        <v>109</v>
      </c>
      <c r="B110" s="31" t="s">
        <v>70</v>
      </c>
      <c r="C110" s="7">
        <v>0</v>
      </c>
      <c r="D110" s="8">
        <v>0.10714285714285714</v>
      </c>
      <c r="E110" s="8">
        <v>7.1428571428571425E-2</v>
      </c>
      <c r="F110" s="8">
        <v>3.5714285714285712E-2</v>
      </c>
      <c r="G110" s="8">
        <v>0.10714285714285714</v>
      </c>
      <c r="H110" s="8">
        <v>3.5714285714285712E-2</v>
      </c>
      <c r="I110" s="8">
        <v>0.10714285714285714</v>
      </c>
      <c r="J110" s="8">
        <v>3.5714285714285712E-2</v>
      </c>
      <c r="K110" s="8">
        <v>3.5714285714285712E-2</v>
      </c>
      <c r="L110" s="9">
        <v>3.5714285714285712E-2</v>
      </c>
    </row>
    <row r="111" spans="1:12" ht="21.75" thickBot="1" x14ac:dyDescent="0.3">
      <c r="A111" s="57">
        <v>110</v>
      </c>
      <c r="B111" s="31" t="s">
        <v>70</v>
      </c>
      <c r="C111" s="74"/>
      <c r="D111" s="75"/>
      <c r="E111" s="75"/>
      <c r="F111" s="75"/>
      <c r="G111" s="75"/>
      <c r="H111" s="75"/>
      <c r="I111" s="75"/>
      <c r="J111" s="75"/>
      <c r="K111" s="75"/>
      <c r="L111" s="76"/>
    </row>
    <row r="112" spans="1:12" ht="21.75" thickBot="1" x14ac:dyDescent="0.3">
      <c r="A112" s="57">
        <v>111</v>
      </c>
      <c r="B112" s="31" t="s">
        <v>72</v>
      </c>
      <c r="C112" s="7">
        <v>0</v>
      </c>
      <c r="D112" s="8">
        <v>3.5714285714285712E-2</v>
      </c>
      <c r="E112" s="8">
        <v>0</v>
      </c>
      <c r="F112" s="8">
        <v>0</v>
      </c>
      <c r="G112" s="8">
        <v>3.5714285714285712E-2</v>
      </c>
      <c r="H112" s="8">
        <v>7.1428571428571425E-2</v>
      </c>
      <c r="I112" s="8">
        <v>3.5714285714285712E-2</v>
      </c>
      <c r="J112" s="8">
        <v>3.5714285714285712E-2</v>
      </c>
      <c r="K112" s="8">
        <v>3.5714285714285712E-2</v>
      </c>
      <c r="L112" s="9">
        <v>3.5714285714285712E-2</v>
      </c>
    </row>
    <row r="113" spans="1:12" ht="21.75" thickBot="1" x14ac:dyDescent="0.3">
      <c r="A113" s="57">
        <v>112</v>
      </c>
      <c r="B113" s="31" t="s">
        <v>72</v>
      </c>
      <c r="C113" s="74"/>
      <c r="D113" s="75"/>
      <c r="E113" s="75"/>
      <c r="F113" s="75"/>
      <c r="G113" s="75"/>
      <c r="H113" s="75"/>
      <c r="I113" s="75"/>
      <c r="J113" s="75"/>
      <c r="K113" s="75"/>
      <c r="L113" s="76"/>
    </row>
    <row r="114" spans="1:12" ht="21.75" thickBot="1" x14ac:dyDescent="0.3">
      <c r="A114" s="57">
        <v>113</v>
      </c>
      <c r="B114" s="31" t="s">
        <v>73</v>
      </c>
      <c r="C114" s="7">
        <v>0.35714285714285715</v>
      </c>
      <c r="D114" s="8">
        <v>0.39285714285714285</v>
      </c>
      <c r="E114" s="8">
        <v>0.4642857142857143</v>
      </c>
      <c r="F114" s="8">
        <v>0.2857142857142857</v>
      </c>
      <c r="G114" s="8">
        <v>0.5</v>
      </c>
      <c r="H114" s="8">
        <v>0.5</v>
      </c>
      <c r="I114" s="8">
        <v>0.32142857142857145</v>
      </c>
      <c r="J114" s="8">
        <v>0.4642857142857143</v>
      </c>
      <c r="K114" s="8">
        <v>0.5</v>
      </c>
      <c r="L114" s="9">
        <v>0.6071428571428571</v>
      </c>
    </row>
    <row r="115" spans="1:12" ht="21.75" thickBot="1" x14ac:dyDescent="0.3">
      <c r="A115" s="57">
        <v>114</v>
      </c>
      <c r="B115" s="31" t="s">
        <v>73</v>
      </c>
      <c r="C115" s="74"/>
      <c r="D115" s="75"/>
      <c r="E115" s="75"/>
      <c r="F115" s="75"/>
      <c r="G115" s="75"/>
      <c r="H115" s="75"/>
      <c r="I115" s="75"/>
      <c r="J115" s="75"/>
      <c r="K115" s="75"/>
      <c r="L115" s="76" t="s">
        <v>242</v>
      </c>
    </row>
    <row r="116" spans="1:12" ht="21.75" thickBot="1" x14ac:dyDescent="0.3">
      <c r="A116" s="57">
        <v>115</v>
      </c>
      <c r="B116" s="31" t="s">
        <v>74</v>
      </c>
      <c r="C116" s="7">
        <v>0.6071428571428571</v>
      </c>
      <c r="D116" s="8">
        <v>0.5357142857142857</v>
      </c>
      <c r="E116" s="8">
        <v>0.4642857142857143</v>
      </c>
      <c r="F116" s="8">
        <v>0.5357142857142857</v>
      </c>
      <c r="G116" s="8">
        <v>0.42857142857142855</v>
      </c>
      <c r="H116" s="8">
        <v>0.5</v>
      </c>
      <c r="I116" s="8">
        <v>0.5357142857142857</v>
      </c>
      <c r="J116" s="8">
        <v>0.35714285714285715</v>
      </c>
      <c r="K116" s="8">
        <v>0.5</v>
      </c>
      <c r="L116" s="9">
        <v>0.5357142857142857</v>
      </c>
    </row>
    <row r="117" spans="1:12" ht="21.75" thickBot="1" x14ac:dyDescent="0.3">
      <c r="A117" s="57">
        <v>116</v>
      </c>
      <c r="B117" s="31" t="s">
        <v>74</v>
      </c>
      <c r="C117" s="74" t="s">
        <v>89</v>
      </c>
      <c r="D117" s="75"/>
      <c r="E117" s="75"/>
      <c r="F117" s="75"/>
      <c r="G117" s="75"/>
      <c r="H117" s="75"/>
      <c r="I117" s="75"/>
      <c r="J117" s="75"/>
      <c r="K117" s="75"/>
      <c r="L117" s="76"/>
    </row>
    <row r="118" spans="1:12" ht="21.75" thickBot="1" x14ac:dyDescent="0.3">
      <c r="A118" s="57">
        <v>117</v>
      </c>
      <c r="B118" s="31" t="s">
        <v>75</v>
      </c>
      <c r="C118" s="7">
        <v>0.10714285714285714</v>
      </c>
      <c r="D118" s="8">
        <v>0.10714285714285714</v>
      </c>
      <c r="E118" s="8">
        <v>0.2857142857142857</v>
      </c>
      <c r="F118" s="8">
        <v>0.14285714285714285</v>
      </c>
      <c r="G118" s="8">
        <v>0.14285714285714285</v>
      </c>
      <c r="H118" s="8">
        <v>0.14285714285714285</v>
      </c>
      <c r="I118" s="8">
        <v>0.17857142857142858</v>
      </c>
      <c r="J118" s="8">
        <v>0.14285714285714285</v>
      </c>
      <c r="K118" s="8">
        <v>0.25</v>
      </c>
      <c r="L118" s="9">
        <v>0.25</v>
      </c>
    </row>
    <row r="119" spans="1:12" ht="21.75" thickBot="1" x14ac:dyDescent="0.3">
      <c r="A119" s="57">
        <v>118</v>
      </c>
      <c r="B119" s="31" t="s">
        <v>75</v>
      </c>
      <c r="C119" s="74"/>
      <c r="D119" s="75"/>
      <c r="E119" s="75" t="s">
        <v>212</v>
      </c>
      <c r="F119" s="75"/>
      <c r="G119" s="75"/>
      <c r="H119" s="75"/>
      <c r="I119" s="75"/>
      <c r="J119" s="75"/>
      <c r="K119" s="75"/>
      <c r="L119" s="76"/>
    </row>
    <row r="120" spans="1:12" ht="21.75" thickBot="1" x14ac:dyDescent="0.3">
      <c r="A120" s="57">
        <v>119</v>
      </c>
      <c r="B120" s="31" t="s">
        <v>76</v>
      </c>
      <c r="C120" s="7">
        <v>7.1428571428571425E-2</v>
      </c>
      <c r="D120" s="8">
        <v>7.1428571428571425E-2</v>
      </c>
      <c r="E120" s="8">
        <v>7.1428571428571425E-2</v>
      </c>
      <c r="F120" s="8">
        <v>0.10714285714285714</v>
      </c>
      <c r="G120" s="8">
        <v>0.10714285714285714</v>
      </c>
      <c r="H120" s="8">
        <v>7.1428571428571425E-2</v>
      </c>
      <c r="I120" s="8">
        <v>0.10714285714285714</v>
      </c>
      <c r="J120" s="8">
        <v>7.1428571428571425E-2</v>
      </c>
      <c r="K120" s="8">
        <v>7.1428571428571425E-2</v>
      </c>
      <c r="L120" s="9">
        <v>0</v>
      </c>
    </row>
    <row r="121" spans="1:12" ht="21.75" thickBot="1" x14ac:dyDescent="0.3">
      <c r="A121" s="57">
        <v>120</v>
      </c>
      <c r="B121" s="31" t="s">
        <v>76</v>
      </c>
      <c r="C121" s="74"/>
      <c r="D121" s="75"/>
      <c r="E121" s="75"/>
      <c r="F121" s="75"/>
      <c r="G121" s="75"/>
      <c r="H121" s="75"/>
      <c r="I121" s="75"/>
      <c r="J121" s="75"/>
      <c r="K121" s="75"/>
      <c r="L121" s="76"/>
    </row>
    <row r="122" spans="1:12" ht="21.75" thickBot="1" x14ac:dyDescent="0.3">
      <c r="A122" s="57">
        <v>121</v>
      </c>
      <c r="B122" s="28" t="s">
        <v>77</v>
      </c>
      <c r="C122" s="7">
        <v>0.10714285714285714</v>
      </c>
      <c r="D122" s="8">
        <v>0.14285714285714285</v>
      </c>
      <c r="E122" s="8">
        <v>3.5714285714285712E-2</v>
      </c>
      <c r="F122" s="8">
        <v>7.1428571428571425E-2</v>
      </c>
      <c r="G122" s="8">
        <v>0</v>
      </c>
      <c r="H122" s="8">
        <v>0.10714285714285714</v>
      </c>
      <c r="I122" s="8">
        <v>3.5714285714285712E-2</v>
      </c>
      <c r="J122" s="8">
        <v>3.5714285714285712E-2</v>
      </c>
      <c r="K122" s="8">
        <v>0.14285714285714285</v>
      </c>
      <c r="L122" s="9">
        <v>3.5714285714285712E-2</v>
      </c>
    </row>
    <row r="123" spans="1:12" ht="21.75" thickBot="1" x14ac:dyDescent="0.3">
      <c r="A123" s="57">
        <v>122</v>
      </c>
      <c r="B123" s="29" t="s">
        <v>77</v>
      </c>
      <c r="C123" s="74"/>
      <c r="D123" s="75"/>
      <c r="E123" s="75"/>
      <c r="F123" s="75"/>
      <c r="G123" s="75"/>
      <c r="H123" s="75"/>
      <c r="I123" s="75"/>
      <c r="J123" s="75"/>
      <c r="K123" s="75"/>
      <c r="L123" s="76"/>
    </row>
    <row r="124" spans="1:12" ht="21.75" thickBot="1" x14ac:dyDescent="0.3">
      <c r="A124" s="57">
        <v>123</v>
      </c>
      <c r="B124" s="29" t="s">
        <v>78</v>
      </c>
      <c r="C124" s="7">
        <v>0.39285714285714285</v>
      </c>
      <c r="D124" s="8">
        <v>0.2857142857142857</v>
      </c>
      <c r="E124" s="8">
        <v>0.42857142857142855</v>
      </c>
      <c r="F124" s="8">
        <v>0.2857142857142857</v>
      </c>
      <c r="G124" s="8">
        <v>0.39285714285714285</v>
      </c>
      <c r="H124" s="8">
        <v>0.35714285714285715</v>
      </c>
      <c r="I124" s="8">
        <v>0.35714285714285715</v>
      </c>
      <c r="J124" s="8">
        <v>0.4642857142857143</v>
      </c>
      <c r="K124" s="8">
        <v>0.39285714285714285</v>
      </c>
      <c r="L124" s="9">
        <v>0.5357142857142857</v>
      </c>
    </row>
    <row r="125" spans="1:12" ht="21.75" thickBot="1" x14ac:dyDescent="0.3">
      <c r="A125" s="57">
        <v>124</v>
      </c>
      <c r="B125" s="29" t="s">
        <v>78</v>
      </c>
      <c r="C125" s="74"/>
      <c r="D125" s="75"/>
      <c r="E125" s="75"/>
      <c r="F125" s="75"/>
      <c r="G125" s="75"/>
      <c r="H125" s="75"/>
      <c r="I125" s="75"/>
      <c r="J125" s="75"/>
      <c r="K125" s="75"/>
      <c r="L125" s="76" t="s">
        <v>243</v>
      </c>
    </row>
    <row r="126" spans="1:12" ht="21.75" thickBot="1" x14ac:dyDescent="0.3">
      <c r="A126" s="57">
        <v>125</v>
      </c>
      <c r="B126" s="29" t="s">
        <v>79</v>
      </c>
      <c r="C126" s="7">
        <v>0.21428571428571427</v>
      </c>
      <c r="D126" s="8">
        <v>0.21428571428571427</v>
      </c>
      <c r="E126" s="8">
        <v>0.21428571428571427</v>
      </c>
      <c r="F126" s="8">
        <v>0.14285714285714285</v>
      </c>
      <c r="G126" s="8">
        <v>0.21428571428571427</v>
      </c>
      <c r="H126" s="8">
        <v>0.10714285714285714</v>
      </c>
      <c r="I126" s="8">
        <v>0.10714285714285714</v>
      </c>
      <c r="J126" s="8">
        <v>0.14285714285714285</v>
      </c>
      <c r="K126" s="8">
        <v>0.21428571428571427</v>
      </c>
      <c r="L126" s="9">
        <v>0.2857142857142857</v>
      </c>
    </row>
    <row r="127" spans="1:12" ht="21.75" thickBot="1" x14ac:dyDescent="0.3">
      <c r="A127" s="57">
        <v>126</v>
      </c>
      <c r="B127" s="29" t="s">
        <v>79</v>
      </c>
      <c r="C127" s="74"/>
      <c r="D127" s="75"/>
      <c r="E127" s="75"/>
      <c r="F127" s="75"/>
      <c r="G127" s="75"/>
      <c r="H127" s="75"/>
      <c r="I127" s="75"/>
      <c r="J127" s="75"/>
      <c r="K127" s="75"/>
      <c r="L127" s="76" t="s">
        <v>244</v>
      </c>
    </row>
    <row r="128" spans="1:12" ht="21.75" thickBot="1" x14ac:dyDescent="0.3">
      <c r="A128" s="57">
        <v>127</v>
      </c>
      <c r="B128" s="29" t="s">
        <v>80</v>
      </c>
      <c r="C128" s="7">
        <v>0</v>
      </c>
      <c r="D128" s="8">
        <v>0.14285714285714285</v>
      </c>
      <c r="E128" s="8">
        <v>0</v>
      </c>
      <c r="F128" s="8">
        <v>0</v>
      </c>
      <c r="G128" s="8">
        <v>0.10714285714285714</v>
      </c>
      <c r="H128" s="8">
        <v>0</v>
      </c>
      <c r="I128" s="8">
        <v>3.5714285714285712E-2</v>
      </c>
      <c r="J128" s="8">
        <v>3.5714285714285712E-2</v>
      </c>
      <c r="K128" s="8">
        <v>0</v>
      </c>
      <c r="L128" s="9">
        <v>0.14285714285714285</v>
      </c>
    </row>
    <row r="129" spans="1:12" ht="21.75" thickBot="1" x14ac:dyDescent="0.3">
      <c r="A129" s="57">
        <v>128</v>
      </c>
      <c r="B129" s="29" t="s">
        <v>80</v>
      </c>
      <c r="C129" s="74"/>
      <c r="D129" s="75"/>
      <c r="E129" s="75"/>
      <c r="F129" s="75"/>
      <c r="G129" s="75"/>
      <c r="H129" s="75"/>
      <c r="I129" s="75"/>
      <c r="J129" s="75"/>
      <c r="K129" s="75"/>
      <c r="L129" s="76"/>
    </row>
    <row r="130" spans="1:12" ht="21.75" thickBot="1" x14ac:dyDescent="0.3">
      <c r="A130" s="57">
        <v>129</v>
      </c>
      <c r="B130" s="29" t="s">
        <v>81</v>
      </c>
      <c r="C130" s="7">
        <v>7.1428571428571425E-2</v>
      </c>
      <c r="D130" s="8">
        <v>0.10714285714285714</v>
      </c>
      <c r="E130" s="8">
        <v>0.32142857142857145</v>
      </c>
      <c r="F130" s="8">
        <v>0.10714285714285714</v>
      </c>
      <c r="G130" s="8">
        <v>3.5714285714285712E-2</v>
      </c>
      <c r="H130" s="8">
        <v>0.17857142857142858</v>
      </c>
      <c r="I130" s="8">
        <v>0.21428571428571427</v>
      </c>
      <c r="J130" s="8">
        <v>0.10714285714285714</v>
      </c>
      <c r="K130" s="8">
        <v>0.14285714285714285</v>
      </c>
      <c r="L130" s="9">
        <v>0.2857142857142857</v>
      </c>
    </row>
    <row r="131" spans="1:12" ht="21.75" thickBot="1" x14ac:dyDescent="0.3">
      <c r="A131" s="57">
        <v>130</v>
      </c>
      <c r="B131" s="29" t="s">
        <v>81</v>
      </c>
      <c r="C131" s="74"/>
      <c r="D131" s="75"/>
      <c r="E131" s="75" t="s">
        <v>245</v>
      </c>
      <c r="F131" s="75"/>
      <c r="G131" s="75"/>
      <c r="H131" s="75" t="s">
        <v>35</v>
      </c>
      <c r="I131" s="75" t="s">
        <v>26</v>
      </c>
      <c r="J131" s="75"/>
      <c r="K131" s="75"/>
      <c r="L131" s="76" t="s">
        <v>245</v>
      </c>
    </row>
    <row r="132" spans="1:12" ht="21.75" thickBot="1" x14ac:dyDescent="0.3">
      <c r="A132" s="57">
        <v>131</v>
      </c>
      <c r="B132" s="29" t="s">
        <v>82</v>
      </c>
      <c r="C132" s="7">
        <v>7.1428571428571425E-2</v>
      </c>
      <c r="D132" s="8">
        <v>7.1428571428571425E-2</v>
      </c>
      <c r="E132" s="8">
        <v>0</v>
      </c>
      <c r="F132" s="8">
        <v>0.14285714285714285</v>
      </c>
      <c r="G132" s="8">
        <v>3.5714285714285712E-2</v>
      </c>
      <c r="H132" s="8">
        <v>7.1428571428571425E-2</v>
      </c>
      <c r="I132" s="8">
        <v>0.14285714285714285</v>
      </c>
      <c r="J132" s="8">
        <v>7.1428571428571425E-2</v>
      </c>
      <c r="K132" s="8">
        <v>3.5714285714285712E-2</v>
      </c>
      <c r="L132" s="9">
        <v>0.10714285714285714</v>
      </c>
    </row>
    <row r="133" spans="1:12" ht="21.75" thickBot="1" x14ac:dyDescent="0.3">
      <c r="A133" s="57">
        <v>132</v>
      </c>
      <c r="B133" s="29" t="s">
        <v>82</v>
      </c>
      <c r="C133" s="74"/>
      <c r="D133" s="75"/>
      <c r="E133" s="75"/>
      <c r="F133" s="75"/>
      <c r="G133" s="75"/>
      <c r="H133" s="75"/>
      <c r="I133" s="75"/>
      <c r="J133" s="75"/>
      <c r="K133" s="75"/>
      <c r="L133" s="76"/>
    </row>
    <row r="134" spans="1:12" ht="21.75" thickBot="1" x14ac:dyDescent="0.3">
      <c r="A134" s="57">
        <v>133</v>
      </c>
      <c r="B134" s="29" t="s">
        <v>83</v>
      </c>
      <c r="C134" s="7">
        <v>0.14285714285714285</v>
      </c>
      <c r="D134" s="8">
        <v>0.17857142857142858</v>
      </c>
      <c r="E134" s="8">
        <v>0.2857142857142857</v>
      </c>
      <c r="F134" s="8">
        <v>0.21428571428571427</v>
      </c>
      <c r="G134" s="8">
        <v>3.5714285714285712E-2</v>
      </c>
      <c r="H134" s="8">
        <v>0.10714285714285714</v>
      </c>
      <c r="I134" s="8">
        <v>0.17857142857142858</v>
      </c>
      <c r="J134" s="8">
        <v>0.10714285714285714</v>
      </c>
      <c r="K134" s="8">
        <v>0.14285714285714285</v>
      </c>
      <c r="L134" s="9">
        <v>0.21428571428571427</v>
      </c>
    </row>
    <row r="135" spans="1:12" ht="21.75" thickBot="1" x14ac:dyDescent="0.3">
      <c r="A135" s="57">
        <v>134</v>
      </c>
      <c r="B135" s="29" t="s">
        <v>83</v>
      </c>
      <c r="C135" s="74"/>
      <c r="D135" s="75" t="s">
        <v>35</v>
      </c>
      <c r="E135" s="75" t="s">
        <v>246</v>
      </c>
      <c r="F135" s="75" t="s">
        <v>26</v>
      </c>
      <c r="G135" s="75"/>
      <c r="H135" s="75"/>
      <c r="I135" s="75" t="s">
        <v>35</v>
      </c>
      <c r="J135" s="75"/>
      <c r="K135" s="75"/>
      <c r="L135" s="76" t="s">
        <v>26</v>
      </c>
    </row>
    <row r="136" spans="1:12" ht="21.75" thickBot="1" x14ac:dyDescent="0.3">
      <c r="A136" s="57">
        <v>135</v>
      </c>
      <c r="B136" s="30" t="s">
        <v>84</v>
      </c>
      <c r="C136" s="7">
        <v>0</v>
      </c>
      <c r="D136" s="8">
        <v>0</v>
      </c>
      <c r="E136" s="8">
        <v>0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9">
        <v>0</v>
      </c>
    </row>
    <row r="137" spans="1:12" ht="21.75" thickBot="1" x14ac:dyDescent="0.3">
      <c r="A137" s="57">
        <v>136</v>
      </c>
      <c r="B137" s="31" t="s">
        <v>84</v>
      </c>
      <c r="C137" s="74"/>
      <c r="D137" s="75"/>
      <c r="E137" s="75"/>
      <c r="F137" s="75"/>
      <c r="G137" s="75"/>
      <c r="H137" s="75"/>
      <c r="I137" s="75"/>
      <c r="J137" s="75"/>
      <c r="K137" s="75"/>
      <c r="L137" s="76"/>
    </row>
    <row r="138" spans="1:12" ht="21.75" thickBot="1" x14ac:dyDescent="0.3">
      <c r="A138" s="57">
        <v>137</v>
      </c>
      <c r="B138" s="31" t="s">
        <v>85</v>
      </c>
      <c r="C138" s="7">
        <v>7.1428571428571425E-2</v>
      </c>
      <c r="D138" s="8">
        <v>0.10714285714285714</v>
      </c>
      <c r="E138" s="8">
        <v>0.14285714285714285</v>
      </c>
      <c r="F138" s="8">
        <v>0</v>
      </c>
      <c r="G138" s="8">
        <v>3.5714285714285712E-2</v>
      </c>
      <c r="H138" s="8">
        <v>3.5714285714285712E-2</v>
      </c>
      <c r="I138" s="8">
        <v>7.1428571428571425E-2</v>
      </c>
      <c r="J138" s="8">
        <v>7.1428571428571425E-2</v>
      </c>
      <c r="K138" s="8">
        <v>7.1428571428571425E-2</v>
      </c>
      <c r="L138" s="9">
        <v>0.14285714285714285</v>
      </c>
    </row>
    <row r="139" spans="1:12" ht="21.75" thickBot="1" x14ac:dyDescent="0.3">
      <c r="A139" s="57">
        <v>138</v>
      </c>
      <c r="B139" s="31" t="s">
        <v>85</v>
      </c>
      <c r="C139" s="74"/>
      <c r="D139" s="75"/>
      <c r="E139" s="75"/>
      <c r="F139" s="75"/>
      <c r="G139" s="75"/>
      <c r="H139" s="75"/>
      <c r="I139" s="75"/>
      <c r="J139" s="75"/>
      <c r="K139" s="75"/>
      <c r="L139" s="76"/>
    </row>
    <row r="140" spans="1:12" ht="21.75" thickBot="1" x14ac:dyDescent="0.3">
      <c r="A140" s="57">
        <v>139</v>
      </c>
      <c r="B140" s="32" t="s">
        <v>86</v>
      </c>
      <c r="C140" s="7">
        <v>0.14285714285714285</v>
      </c>
      <c r="D140" s="8">
        <v>0.25</v>
      </c>
      <c r="E140" s="8">
        <v>0.25</v>
      </c>
      <c r="F140" s="8">
        <v>0.14285714285714285</v>
      </c>
      <c r="G140" s="8">
        <v>0.17857142857142858</v>
      </c>
      <c r="H140" s="8">
        <v>0.2857142857142857</v>
      </c>
      <c r="I140" s="8">
        <v>0.17857142857142858</v>
      </c>
      <c r="J140" s="8">
        <v>0.21428571428571427</v>
      </c>
      <c r="K140" s="8">
        <v>0.17857142857142858</v>
      </c>
      <c r="L140" s="9">
        <v>0.21428571428571427</v>
      </c>
    </row>
    <row r="141" spans="1:12" ht="21.75" thickBot="1" x14ac:dyDescent="0.3">
      <c r="A141" s="57">
        <v>140</v>
      </c>
      <c r="B141" s="32" t="s">
        <v>86</v>
      </c>
      <c r="C141" s="74"/>
      <c r="D141" s="75"/>
      <c r="E141" s="75"/>
      <c r="F141" s="75"/>
      <c r="G141" s="75"/>
      <c r="H141" s="75"/>
      <c r="I141" s="75"/>
      <c r="J141" s="75"/>
      <c r="K141" s="75"/>
      <c r="L141" s="76"/>
    </row>
    <row r="142" spans="1:12" ht="21.75" thickBot="1" x14ac:dyDescent="0.3">
      <c r="A142" s="57">
        <v>141</v>
      </c>
      <c r="B142" s="31" t="s">
        <v>87</v>
      </c>
      <c r="C142" s="7">
        <v>0.14285714285714285</v>
      </c>
      <c r="D142" s="8">
        <v>0.10714285714285714</v>
      </c>
      <c r="E142" s="8">
        <v>0.17857142857142858</v>
      </c>
      <c r="F142" s="8">
        <v>0.14285714285714285</v>
      </c>
      <c r="G142" s="8">
        <v>0.14285714285714285</v>
      </c>
      <c r="H142" s="8">
        <v>0.14285714285714285</v>
      </c>
      <c r="I142" s="8">
        <v>0.17857142857142858</v>
      </c>
      <c r="J142" s="8">
        <v>0.17857142857142858</v>
      </c>
      <c r="K142" s="8">
        <v>0.17857142857142858</v>
      </c>
      <c r="L142" s="9">
        <v>0.21428571428571427</v>
      </c>
    </row>
    <row r="143" spans="1:12" ht="21.75" thickBot="1" x14ac:dyDescent="0.3">
      <c r="A143" s="57">
        <v>142</v>
      </c>
      <c r="B143" s="31" t="s">
        <v>87</v>
      </c>
      <c r="C143" s="74"/>
      <c r="D143" s="75"/>
      <c r="E143" s="75"/>
      <c r="F143" s="75"/>
      <c r="G143" s="75"/>
      <c r="H143" s="75"/>
      <c r="I143" s="75"/>
      <c r="J143" s="75"/>
      <c r="K143" s="75"/>
      <c r="L143" s="76"/>
    </row>
    <row r="144" spans="1:12" ht="21.75" thickBot="1" x14ac:dyDescent="0.3">
      <c r="A144" s="57">
        <v>143</v>
      </c>
      <c r="B144" s="31" t="s">
        <v>88</v>
      </c>
      <c r="C144" s="7">
        <v>0.32142857142857145</v>
      </c>
      <c r="D144" s="8">
        <v>0.10714285714285714</v>
      </c>
      <c r="E144" s="8">
        <v>0.17857142857142858</v>
      </c>
      <c r="F144" s="8">
        <v>0.35714285714285715</v>
      </c>
      <c r="G144" s="8">
        <v>0.25</v>
      </c>
      <c r="H144" s="8">
        <v>0.32142857142857145</v>
      </c>
      <c r="I144" s="8">
        <v>0.39285714285714285</v>
      </c>
      <c r="J144" s="8">
        <v>0.2857142857142857</v>
      </c>
      <c r="K144" s="8">
        <v>0.25</v>
      </c>
      <c r="L144" s="9">
        <v>0.42857142857142855</v>
      </c>
    </row>
    <row r="145" spans="1:12" ht="21.75" thickBot="1" x14ac:dyDescent="0.3">
      <c r="A145" s="57">
        <v>144</v>
      </c>
      <c r="B145" s="31" t="s">
        <v>88</v>
      </c>
      <c r="C145" s="74" t="s">
        <v>33</v>
      </c>
      <c r="D145" s="75"/>
      <c r="E145" s="75"/>
      <c r="F145" s="75" t="s">
        <v>23</v>
      </c>
      <c r="G145" s="75"/>
      <c r="H145" s="75" t="s">
        <v>33</v>
      </c>
      <c r="I145" s="75" t="s">
        <v>120</v>
      </c>
      <c r="J145" s="75" t="s">
        <v>33</v>
      </c>
      <c r="K145" s="75"/>
      <c r="L145" s="76" t="s">
        <v>192</v>
      </c>
    </row>
    <row r="146" spans="1:12" ht="21.75" thickBot="1" x14ac:dyDescent="0.3">
      <c r="A146" s="57">
        <v>145</v>
      </c>
      <c r="B146" s="32" t="s">
        <v>90</v>
      </c>
      <c r="C146" s="7">
        <v>0.39285714285714285</v>
      </c>
      <c r="D146" s="8">
        <v>0.21428571428571427</v>
      </c>
      <c r="E146" s="8">
        <v>0.17857142857142858</v>
      </c>
      <c r="F146" s="8">
        <v>0.32142857142857145</v>
      </c>
      <c r="G146" s="8">
        <v>0.25</v>
      </c>
      <c r="H146" s="8">
        <v>0.25</v>
      </c>
      <c r="I146" s="8">
        <v>0.14285714285714285</v>
      </c>
      <c r="J146" s="8">
        <v>0.21428571428571427</v>
      </c>
      <c r="K146" s="8">
        <v>0.17857142857142858</v>
      </c>
      <c r="L146" s="9">
        <v>0.35714285714285715</v>
      </c>
    </row>
    <row r="147" spans="1:12" ht="21.75" thickBot="1" x14ac:dyDescent="0.3">
      <c r="A147" s="57">
        <v>146</v>
      </c>
      <c r="B147" s="32" t="s">
        <v>90</v>
      </c>
      <c r="C147" s="74" t="s">
        <v>247</v>
      </c>
      <c r="D147" s="75"/>
      <c r="E147" s="75"/>
      <c r="F147" s="75"/>
      <c r="G147" s="75"/>
      <c r="H147" s="75"/>
      <c r="I147" s="75"/>
      <c r="J147" s="75"/>
      <c r="K147" s="75"/>
      <c r="L147" s="76" t="s">
        <v>91</v>
      </c>
    </row>
    <row r="148" spans="1:12" ht="21.75" thickBot="1" x14ac:dyDescent="0.3">
      <c r="A148" s="57">
        <v>147</v>
      </c>
      <c r="B148" s="31" t="s">
        <v>92</v>
      </c>
      <c r="C148" s="7">
        <v>0</v>
      </c>
      <c r="D148" s="8">
        <v>0.10714285714285714</v>
      </c>
      <c r="E148" s="8">
        <v>3.5714285714285712E-2</v>
      </c>
      <c r="F148" s="8">
        <v>0</v>
      </c>
      <c r="G148" s="8">
        <v>0.10714285714285714</v>
      </c>
      <c r="H148" s="8">
        <v>3.5714285714285712E-2</v>
      </c>
      <c r="I148" s="8">
        <v>7.1428571428571425E-2</v>
      </c>
      <c r="J148" s="8">
        <v>7.1428571428571425E-2</v>
      </c>
      <c r="K148" s="8">
        <v>7.1428571428571425E-2</v>
      </c>
      <c r="L148" s="9">
        <v>7.1428571428571425E-2</v>
      </c>
    </row>
    <row r="149" spans="1:12" ht="21.75" thickBot="1" x14ac:dyDescent="0.3">
      <c r="A149" s="57">
        <v>148</v>
      </c>
      <c r="B149" s="31" t="s">
        <v>92</v>
      </c>
      <c r="C149" s="74"/>
      <c r="D149" s="75"/>
      <c r="E149" s="75"/>
      <c r="F149" s="75"/>
      <c r="G149" s="75"/>
      <c r="H149" s="75"/>
      <c r="I149" s="75"/>
      <c r="J149" s="75"/>
      <c r="K149" s="75"/>
      <c r="L149" s="76"/>
    </row>
    <row r="150" spans="1:12" ht="21.75" thickBot="1" x14ac:dyDescent="0.3">
      <c r="A150" s="57">
        <v>149</v>
      </c>
      <c r="B150" s="30" t="s">
        <v>93</v>
      </c>
      <c r="C150" s="7">
        <v>0.10714285714285714</v>
      </c>
      <c r="D150" s="8">
        <v>0.10714285714285714</v>
      </c>
      <c r="E150" s="8">
        <v>0.10714285714285714</v>
      </c>
      <c r="F150" s="8">
        <v>3.5714285714285712E-2</v>
      </c>
      <c r="G150" s="8">
        <v>7.1428571428571425E-2</v>
      </c>
      <c r="H150" s="8">
        <v>3.5714285714285712E-2</v>
      </c>
      <c r="I150" s="8">
        <v>7.1428571428571425E-2</v>
      </c>
      <c r="J150" s="8">
        <v>7.1428571428571425E-2</v>
      </c>
      <c r="K150" s="8">
        <v>3.5714285714285712E-2</v>
      </c>
      <c r="L150" s="9">
        <v>0.10714285714285714</v>
      </c>
    </row>
    <row r="151" spans="1:12" ht="21.75" thickBot="1" x14ac:dyDescent="0.3">
      <c r="A151" s="57">
        <v>150</v>
      </c>
      <c r="B151" s="31" t="s">
        <v>93</v>
      </c>
      <c r="C151" s="74"/>
      <c r="D151" s="75"/>
      <c r="E151" s="75"/>
      <c r="F151" s="75"/>
      <c r="G151" s="75"/>
      <c r="H151" s="75"/>
      <c r="I151" s="75"/>
      <c r="J151" s="75"/>
      <c r="K151" s="75"/>
      <c r="L151" s="76"/>
    </row>
    <row r="152" spans="1:12" ht="21.75" thickBot="1" x14ac:dyDescent="0.3">
      <c r="A152" s="57">
        <v>151</v>
      </c>
      <c r="B152" s="31" t="s">
        <v>94</v>
      </c>
      <c r="C152" s="7">
        <v>3.5714285714285712E-2</v>
      </c>
      <c r="D152" s="8">
        <v>0</v>
      </c>
      <c r="E152" s="8">
        <v>0.10714285714285714</v>
      </c>
      <c r="F152" s="8">
        <v>0</v>
      </c>
      <c r="G152" s="8">
        <v>0</v>
      </c>
      <c r="H152" s="8">
        <v>7.1428571428571425E-2</v>
      </c>
      <c r="I152" s="8">
        <v>0</v>
      </c>
      <c r="J152" s="8">
        <v>3.5714285714285712E-2</v>
      </c>
      <c r="K152" s="8">
        <v>0</v>
      </c>
      <c r="L152" s="9">
        <v>3.5714285714285712E-2</v>
      </c>
    </row>
    <row r="153" spans="1:12" ht="21.75" thickBot="1" x14ac:dyDescent="0.3">
      <c r="A153" s="57">
        <v>152</v>
      </c>
      <c r="B153" s="31" t="s">
        <v>94</v>
      </c>
      <c r="C153" s="74"/>
      <c r="D153" s="75"/>
      <c r="E153" s="75"/>
      <c r="F153" s="75"/>
      <c r="G153" s="75"/>
      <c r="H153" s="75"/>
      <c r="I153" s="75"/>
      <c r="J153" s="75"/>
      <c r="K153" s="75"/>
      <c r="L153" s="76"/>
    </row>
    <row r="154" spans="1:12" ht="21.75" thickBot="1" x14ac:dyDescent="0.3">
      <c r="A154" s="57">
        <v>153</v>
      </c>
      <c r="B154" s="31" t="s">
        <v>95</v>
      </c>
      <c r="C154" s="7">
        <v>3.5714285714285712E-2</v>
      </c>
      <c r="D154" s="8">
        <v>3.5714285714285712E-2</v>
      </c>
      <c r="E154" s="8">
        <v>0</v>
      </c>
      <c r="F154" s="8">
        <v>0</v>
      </c>
      <c r="G154" s="8">
        <v>3.5714285714285712E-2</v>
      </c>
      <c r="H154" s="8">
        <v>0</v>
      </c>
      <c r="I154" s="8">
        <v>7.1428571428571425E-2</v>
      </c>
      <c r="J154" s="8">
        <v>3.5714285714285712E-2</v>
      </c>
      <c r="K154" s="8">
        <v>0</v>
      </c>
      <c r="L154" s="9">
        <v>3.5714285714285712E-2</v>
      </c>
    </row>
    <row r="155" spans="1:12" ht="21.75" thickBot="1" x14ac:dyDescent="0.3">
      <c r="A155" s="57">
        <v>154</v>
      </c>
      <c r="B155" s="31" t="s">
        <v>95</v>
      </c>
      <c r="C155" s="74"/>
      <c r="D155" s="75"/>
      <c r="E155" s="75"/>
      <c r="F155" s="75"/>
      <c r="G155" s="75"/>
      <c r="H155" s="75"/>
      <c r="I155" s="75"/>
      <c r="J155" s="75"/>
      <c r="K155" s="75"/>
      <c r="L155" s="76"/>
    </row>
    <row r="156" spans="1:12" ht="21.75" thickBot="1" x14ac:dyDescent="0.3">
      <c r="A156" s="57">
        <v>155</v>
      </c>
      <c r="B156" s="31" t="s">
        <v>96</v>
      </c>
      <c r="C156" s="7">
        <v>0.2857142857142857</v>
      </c>
      <c r="D156" s="8">
        <v>0.21428571428571427</v>
      </c>
      <c r="E156" s="8">
        <v>0.17857142857142858</v>
      </c>
      <c r="F156" s="8">
        <v>0.2857142857142857</v>
      </c>
      <c r="G156" s="8">
        <v>0.21428571428571427</v>
      </c>
      <c r="H156" s="8">
        <v>0.21428571428571427</v>
      </c>
      <c r="I156" s="8">
        <v>0.17857142857142858</v>
      </c>
      <c r="J156" s="8">
        <v>0.21428571428571427</v>
      </c>
      <c r="K156" s="8">
        <v>0.17857142857142858</v>
      </c>
      <c r="L156" s="9">
        <v>0.25</v>
      </c>
    </row>
    <row r="157" spans="1:12" ht="21.75" thickBot="1" x14ac:dyDescent="0.3">
      <c r="A157" s="57">
        <v>156</v>
      </c>
      <c r="B157" s="31" t="s">
        <v>96</v>
      </c>
      <c r="C157" s="74"/>
      <c r="D157" s="75"/>
      <c r="E157" s="75"/>
      <c r="F157" s="75"/>
      <c r="G157" s="75"/>
      <c r="H157" s="75"/>
      <c r="I157" s="75"/>
      <c r="J157" s="75"/>
      <c r="K157" s="75"/>
      <c r="L157" s="76"/>
    </row>
    <row r="158" spans="1:12" ht="21.75" thickBot="1" x14ac:dyDescent="0.3">
      <c r="A158" s="57">
        <v>157</v>
      </c>
      <c r="B158" s="31" t="s">
        <v>97</v>
      </c>
      <c r="C158" s="7">
        <v>0.25</v>
      </c>
      <c r="D158" s="8">
        <v>0.32142857142857145</v>
      </c>
      <c r="E158" s="8">
        <v>0.35714285714285715</v>
      </c>
      <c r="F158" s="8">
        <v>0.14285714285714285</v>
      </c>
      <c r="G158" s="8">
        <v>0.32142857142857145</v>
      </c>
      <c r="H158" s="8">
        <v>0.14285714285714285</v>
      </c>
      <c r="I158" s="8">
        <v>0.14285714285714285</v>
      </c>
      <c r="J158" s="8">
        <v>0.32142857142857145</v>
      </c>
      <c r="K158" s="8">
        <v>0.21428571428571427</v>
      </c>
      <c r="L158" s="9">
        <v>0.39285714285714285</v>
      </c>
    </row>
    <row r="159" spans="1:12" ht="21.75" thickBot="1" x14ac:dyDescent="0.3">
      <c r="A159" s="57">
        <v>158</v>
      </c>
      <c r="B159" s="31" t="s">
        <v>97</v>
      </c>
      <c r="C159" s="74"/>
      <c r="D159" s="75"/>
      <c r="E159" s="75" t="s">
        <v>223</v>
      </c>
      <c r="F159" s="75"/>
      <c r="G159" s="75"/>
      <c r="H159" s="75"/>
      <c r="I159" s="75"/>
      <c r="J159" s="75"/>
      <c r="K159" s="75"/>
      <c r="L159" s="76" t="s">
        <v>219</v>
      </c>
    </row>
    <row r="160" spans="1:12" ht="21.75" thickBot="1" x14ac:dyDescent="0.3">
      <c r="A160" s="57">
        <v>159</v>
      </c>
      <c r="B160" s="31" t="s">
        <v>98</v>
      </c>
      <c r="C160" s="7">
        <v>0</v>
      </c>
      <c r="D160" s="8">
        <v>7.1428571428571425E-2</v>
      </c>
      <c r="E160" s="8">
        <v>7.1428571428571425E-2</v>
      </c>
      <c r="F160" s="8">
        <v>7.1428571428571425E-2</v>
      </c>
      <c r="G160" s="8">
        <v>7.1428571428571425E-2</v>
      </c>
      <c r="H160" s="8">
        <v>0</v>
      </c>
      <c r="I160" s="8">
        <v>7.1428571428571425E-2</v>
      </c>
      <c r="J160" s="8">
        <v>0</v>
      </c>
      <c r="K160" s="8">
        <v>7.1428571428571425E-2</v>
      </c>
      <c r="L160" s="9">
        <v>0.14285714285714285</v>
      </c>
    </row>
    <row r="161" spans="1:12" ht="21.75" thickBot="1" x14ac:dyDescent="0.3">
      <c r="A161" s="57">
        <v>160</v>
      </c>
      <c r="B161" s="31" t="s">
        <v>98</v>
      </c>
      <c r="C161" s="74"/>
      <c r="D161" s="75"/>
      <c r="E161" s="75"/>
      <c r="F161" s="75"/>
      <c r="G161" s="75"/>
      <c r="H161" s="75"/>
      <c r="I161" s="75"/>
      <c r="J161" s="75"/>
      <c r="K161" s="75"/>
      <c r="L161" s="76"/>
    </row>
    <row r="162" spans="1:12" ht="21.75" thickBot="1" x14ac:dyDescent="0.3">
      <c r="A162" s="57">
        <v>161</v>
      </c>
      <c r="B162" s="31" t="s">
        <v>99</v>
      </c>
      <c r="C162" s="7">
        <v>3.5714285714285712E-2</v>
      </c>
      <c r="D162" s="8">
        <v>3.5714285714285712E-2</v>
      </c>
      <c r="E162" s="8">
        <v>3.5714285714285712E-2</v>
      </c>
      <c r="F162" s="8">
        <v>7.1428571428571425E-2</v>
      </c>
      <c r="G162" s="8">
        <v>7.1428571428571425E-2</v>
      </c>
      <c r="H162" s="8">
        <v>0.10714285714285714</v>
      </c>
      <c r="I162" s="8">
        <v>7.1428571428571425E-2</v>
      </c>
      <c r="J162" s="8">
        <v>0</v>
      </c>
      <c r="K162" s="8">
        <v>3.5714285714285712E-2</v>
      </c>
      <c r="L162" s="9">
        <v>7.1428571428571425E-2</v>
      </c>
    </row>
    <row r="163" spans="1:12" ht="21.75" thickBot="1" x14ac:dyDescent="0.3">
      <c r="A163" s="57">
        <v>162</v>
      </c>
      <c r="B163" s="31" t="s">
        <v>99</v>
      </c>
      <c r="C163" s="74"/>
      <c r="D163" s="75"/>
      <c r="E163" s="75"/>
      <c r="F163" s="75"/>
      <c r="G163" s="75"/>
      <c r="H163" s="75"/>
      <c r="I163" s="75"/>
      <c r="J163" s="75"/>
      <c r="K163" s="75"/>
      <c r="L163" s="76"/>
    </row>
    <row r="164" spans="1:12" ht="21" x14ac:dyDescent="0.25">
      <c r="A164" s="57">
        <v>163</v>
      </c>
      <c r="B164" s="33"/>
      <c r="C164" s="34"/>
      <c r="D164" s="35"/>
      <c r="E164" s="34"/>
      <c r="F164" s="35"/>
      <c r="G164" s="36"/>
      <c r="H164" s="35"/>
      <c r="I164" s="36"/>
      <c r="J164" s="34"/>
      <c r="K164" s="36"/>
      <c r="L164" s="35"/>
    </row>
    <row r="165" spans="1:12" ht="21.75" thickBot="1" x14ac:dyDescent="0.3">
      <c r="A165" s="57">
        <v>164</v>
      </c>
      <c r="B165" s="37" t="s">
        <v>100</v>
      </c>
      <c r="C165" s="38"/>
      <c r="D165" s="38"/>
      <c r="E165" s="38"/>
      <c r="F165" s="38"/>
      <c r="G165" s="38"/>
      <c r="H165" s="38"/>
      <c r="I165" s="38"/>
      <c r="J165" s="38"/>
      <c r="K165" s="38"/>
      <c r="L165" s="38"/>
    </row>
    <row r="166" spans="1:12" ht="21.75" thickBot="1" x14ac:dyDescent="0.3">
      <c r="A166" s="57">
        <v>165</v>
      </c>
      <c r="B166" s="39" t="s">
        <v>101</v>
      </c>
      <c r="C166" s="7">
        <v>0.14285714285714285</v>
      </c>
      <c r="D166" s="8">
        <v>7.1428571428571425E-2</v>
      </c>
      <c r="E166" s="8">
        <v>0.21428571428571427</v>
      </c>
      <c r="F166" s="8">
        <v>0.14285714285714285</v>
      </c>
      <c r="G166" s="8">
        <v>0</v>
      </c>
      <c r="H166" s="8">
        <v>0.14285714285714285</v>
      </c>
      <c r="I166" s="8">
        <v>3.5714285714285712E-2</v>
      </c>
      <c r="J166" s="8">
        <v>7.1428571428571425E-2</v>
      </c>
      <c r="K166" s="8">
        <v>7.1428571428571425E-2</v>
      </c>
      <c r="L166" s="9">
        <v>3.5714285714285712E-2</v>
      </c>
    </row>
    <row r="167" spans="1:12" ht="21.75" thickBot="1" x14ac:dyDescent="0.3">
      <c r="A167" s="57">
        <v>166</v>
      </c>
      <c r="B167" s="40" t="s">
        <v>101</v>
      </c>
      <c r="C167" s="74"/>
      <c r="D167" s="75"/>
      <c r="E167" s="75" t="s">
        <v>220</v>
      </c>
      <c r="F167" s="75"/>
      <c r="G167" s="75"/>
      <c r="H167" s="75"/>
      <c r="I167" s="75"/>
      <c r="J167" s="75"/>
      <c r="K167" s="75"/>
      <c r="L167" s="76"/>
    </row>
    <row r="168" spans="1:12" ht="21.75" thickBot="1" x14ac:dyDescent="0.3">
      <c r="A168" s="57">
        <v>167</v>
      </c>
      <c r="B168" s="40" t="s">
        <v>103</v>
      </c>
      <c r="C168" s="7">
        <v>3.5714285714285712E-2</v>
      </c>
      <c r="D168" s="8">
        <v>7.1428571428571425E-2</v>
      </c>
      <c r="E168" s="8">
        <v>7.1428571428571425E-2</v>
      </c>
      <c r="F168" s="8">
        <v>3.5714285714285712E-2</v>
      </c>
      <c r="G168" s="8">
        <v>3.5714285714285712E-2</v>
      </c>
      <c r="H168" s="8">
        <v>7.1428571428571425E-2</v>
      </c>
      <c r="I168" s="8">
        <v>0.14285714285714285</v>
      </c>
      <c r="J168" s="8">
        <v>3.5714285714285712E-2</v>
      </c>
      <c r="K168" s="8">
        <v>3.5714285714285712E-2</v>
      </c>
      <c r="L168" s="9">
        <v>3.5714285714285712E-2</v>
      </c>
    </row>
    <row r="169" spans="1:12" ht="21.75" thickBot="1" x14ac:dyDescent="0.3">
      <c r="A169" s="57">
        <v>168</v>
      </c>
      <c r="B169" s="40" t="s">
        <v>103</v>
      </c>
      <c r="C169" s="74"/>
      <c r="D169" s="75"/>
      <c r="E169" s="75"/>
      <c r="F169" s="75"/>
      <c r="G169" s="75"/>
      <c r="H169" s="75"/>
      <c r="I169" s="75"/>
      <c r="J169" s="75"/>
      <c r="K169" s="75"/>
      <c r="L169" s="76"/>
    </row>
    <row r="170" spans="1:12" ht="21.75" thickBot="1" x14ac:dyDescent="0.3">
      <c r="A170" s="57">
        <v>169</v>
      </c>
      <c r="B170" s="40" t="s">
        <v>104</v>
      </c>
      <c r="C170" s="7">
        <v>7.1428571428571425E-2</v>
      </c>
      <c r="D170" s="8">
        <v>7.1428571428571425E-2</v>
      </c>
      <c r="E170" s="8">
        <v>7.1428571428571425E-2</v>
      </c>
      <c r="F170" s="8">
        <v>0.10714285714285714</v>
      </c>
      <c r="G170" s="8">
        <v>7.1428571428571425E-2</v>
      </c>
      <c r="H170" s="8">
        <v>0</v>
      </c>
      <c r="I170" s="8">
        <v>3.5714285714285712E-2</v>
      </c>
      <c r="J170" s="8">
        <v>7.1428571428571425E-2</v>
      </c>
      <c r="K170" s="8">
        <v>7.1428571428571425E-2</v>
      </c>
      <c r="L170" s="9">
        <v>7.1428571428571425E-2</v>
      </c>
    </row>
    <row r="171" spans="1:12" ht="21.75" thickBot="1" x14ac:dyDescent="0.3">
      <c r="A171" s="57">
        <v>170</v>
      </c>
      <c r="B171" s="40" t="s">
        <v>104</v>
      </c>
      <c r="C171" s="74"/>
      <c r="D171" s="75"/>
      <c r="E171" s="75"/>
      <c r="F171" s="75"/>
      <c r="G171" s="75"/>
      <c r="H171" s="75"/>
      <c r="I171" s="75"/>
      <c r="J171" s="75"/>
      <c r="K171" s="75"/>
      <c r="L171" s="76"/>
    </row>
    <row r="172" spans="1:12" ht="21.75" thickBot="1" x14ac:dyDescent="0.3">
      <c r="A172" s="57">
        <v>171</v>
      </c>
      <c r="B172" s="41" t="s">
        <v>105</v>
      </c>
      <c r="C172" s="7">
        <v>7.1428571428571425E-2</v>
      </c>
      <c r="D172" s="8">
        <v>7.1428571428571425E-2</v>
      </c>
      <c r="E172" s="8">
        <v>0.10714285714285714</v>
      </c>
      <c r="F172" s="8">
        <v>0.10714285714285714</v>
      </c>
      <c r="G172" s="8">
        <v>7.1428571428571425E-2</v>
      </c>
      <c r="H172" s="8">
        <v>3.5714285714285712E-2</v>
      </c>
      <c r="I172" s="8">
        <v>7.1428571428571425E-2</v>
      </c>
      <c r="J172" s="8">
        <v>7.1428571428571425E-2</v>
      </c>
      <c r="K172" s="8">
        <v>7.1428571428571425E-2</v>
      </c>
      <c r="L172" s="9">
        <v>3.5714285714285712E-2</v>
      </c>
    </row>
    <row r="173" spans="1:12" ht="21.75" thickBot="1" x14ac:dyDescent="0.3">
      <c r="A173" s="57">
        <v>172</v>
      </c>
      <c r="B173" s="42" t="s">
        <v>105</v>
      </c>
      <c r="C173" s="74"/>
      <c r="D173" s="75"/>
      <c r="E173" s="75"/>
      <c r="F173" s="75"/>
      <c r="G173" s="75"/>
      <c r="H173" s="75"/>
      <c r="I173" s="75"/>
      <c r="J173" s="75"/>
      <c r="K173" s="75"/>
      <c r="L173" s="76"/>
    </row>
    <row r="174" spans="1:12" ht="21.75" thickBot="1" x14ac:dyDescent="0.3">
      <c r="A174" s="57">
        <v>173</v>
      </c>
      <c r="B174" s="42" t="s">
        <v>106</v>
      </c>
      <c r="C174" s="7">
        <v>3.5714285714285712E-2</v>
      </c>
      <c r="D174" s="8">
        <v>7.1428571428571425E-2</v>
      </c>
      <c r="E174" s="8">
        <v>3.5714285714285712E-2</v>
      </c>
      <c r="F174" s="8">
        <v>7.1428571428571425E-2</v>
      </c>
      <c r="G174" s="8">
        <v>7.1428571428571425E-2</v>
      </c>
      <c r="H174" s="8">
        <v>3.5714285714285712E-2</v>
      </c>
      <c r="I174" s="8">
        <v>3.5714285714285712E-2</v>
      </c>
      <c r="J174" s="8">
        <v>7.1428571428571425E-2</v>
      </c>
      <c r="K174" s="8">
        <v>3.5714285714285712E-2</v>
      </c>
      <c r="L174" s="9">
        <v>3.5714285714285712E-2</v>
      </c>
    </row>
    <row r="175" spans="1:12" ht="21.75" thickBot="1" x14ac:dyDescent="0.3">
      <c r="A175" s="57">
        <v>174</v>
      </c>
      <c r="B175" s="42" t="s">
        <v>106</v>
      </c>
      <c r="C175" s="74"/>
      <c r="D175" s="75"/>
      <c r="E175" s="75"/>
      <c r="F175" s="75"/>
      <c r="G175" s="75"/>
      <c r="H175" s="75"/>
      <c r="I175" s="75"/>
      <c r="J175" s="75"/>
      <c r="K175" s="75"/>
      <c r="L175" s="76"/>
    </row>
    <row r="176" spans="1:12" ht="21.75" thickBot="1" x14ac:dyDescent="0.3">
      <c r="A176" s="57">
        <v>175</v>
      </c>
      <c r="B176" s="42" t="s">
        <v>107</v>
      </c>
      <c r="C176" s="7">
        <v>0.4642857142857143</v>
      </c>
      <c r="D176" s="8">
        <v>0.21428571428571427</v>
      </c>
      <c r="E176" s="8">
        <v>0.17857142857142858</v>
      </c>
      <c r="F176" s="8">
        <v>0.21428571428571427</v>
      </c>
      <c r="G176" s="8">
        <v>0.21428571428571427</v>
      </c>
      <c r="H176" s="8">
        <v>0.2857142857142857</v>
      </c>
      <c r="I176" s="8">
        <v>0.21428571428571427</v>
      </c>
      <c r="J176" s="8">
        <v>0.35714285714285715</v>
      </c>
      <c r="K176" s="8">
        <v>0.4642857142857143</v>
      </c>
      <c r="L176" s="9">
        <v>0.32142857142857145</v>
      </c>
    </row>
    <row r="177" spans="1:12" ht="21.75" thickBot="1" x14ac:dyDescent="0.3">
      <c r="A177" s="57">
        <v>176</v>
      </c>
      <c r="B177" s="42" t="s">
        <v>107</v>
      </c>
      <c r="C177" s="74" t="s">
        <v>221</v>
      </c>
      <c r="D177" s="75"/>
      <c r="E177" s="75"/>
      <c r="F177" s="75"/>
      <c r="G177" s="75"/>
      <c r="H177" s="75"/>
      <c r="I177" s="75"/>
      <c r="J177" s="75"/>
      <c r="K177" s="75" t="s">
        <v>221</v>
      </c>
      <c r="L177" s="76"/>
    </row>
    <row r="178" spans="1:12" ht="21.75" thickBot="1" x14ac:dyDescent="0.3">
      <c r="A178" s="57">
        <v>177</v>
      </c>
      <c r="B178" s="41" t="s">
        <v>108</v>
      </c>
      <c r="C178" s="7">
        <v>3.5714285714285712E-2</v>
      </c>
      <c r="D178" s="8">
        <v>7.1428571428571425E-2</v>
      </c>
      <c r="E178" s="8">
        <v>7.1428571428571425E-2</v>
      </c>
      <c r="F178" s="8">
        <v>3.5714285714285712E-2</v>
      </c>
      <c r="G178" s="8">
        <v>3.5714285714285712E-2</v>
      </c>
      <c r="H178" s="8">
        <v>7.1428571428571425E-2</v>
      </c>
      <c r="I178" s="8">
        <v>0</v>
      </c>
      <c r="J178" s="8">
        <v>3.5714285714285712E-2</v>
      </c>
      <c r="K178" s="8">
        <v>3.5714285714285712E-2</v>
      </c>
      <c r="L178" s="9">
        <v>0.10714285714285714</v>
      </c>
    </row>
    <row r="179" spans="1:12" ht="21.75" thickBot="1" x14ac:dyDescent="0.3">
      <c r="A179" s="57">
        <v>178</v>
      </c>
      <c r="B179" s="42" t="s">
        <v>108</v>
      </c>
      <c r="C179" s="74"/>
      <c r="D179" s="75"/>
      <c r="E179" s="75"/>
      <c r="F179" s="75"/>
      <c r="G179" s="75"/>
      <c r="H179" s="75"/>
      <c r="I179" s="75"/>
      <c r="J179" s="75"/>
      <c r="K179" s="75"/>
      <c r="L179" s="76"/>
    </row>
    <row r="180" spans="1:12" ht="21.75" thickBot="1" x14ac:dyDescent="0.3">
      <c r="A180" s="57">
        <v>179</v>
      </c>
      <c r="B180" s="42" t="s">
        <v>109</v>
      </c>
      <c r="C180" s="7">
        <v>0.25</v>
      </c>
      <c r="D180" s="8">
        <v>7.1428571428571425E-2</v>
      </c>
      <c r="E180" s="8">
        <v>0.10714285714285714</v>
      </c>
      <c r="F180" s="8">
        <v>0.2857142857142857</v>
      </c>
      <c r="G180" s="8">
        <v>0.10714285714285714</v>
      </c>
      <c r="H180" s="8">
        <v>0.10714285714285714</v>
      </c>
      <c r="I180" s="8">
        <v>0.2857142857142857</v>
      </c>
      <c r="J180" s="8">
        <v>0.17857142857142858</v>
      </c>
      <c r="K180" s="8">
        <v>0.14285714285714285</v>
      </c>
      <c r="L180" s="9">
        <v>0.17857142857142858</v>
      </c>
    </row>
    <row r="181" spans="1:12" ht="21.75" thickBot="1" x14ac:dyDescent="0.3">
      <c r="A181" s="57">
        <v>180</v>
      </c>
      <c r="B181" s="42" t="s">
        <v>109</v>
      </c>
      <c r="C181" s="74" t="s">
        <v>33</v>
      </c>
      <c r="D181" s="75"/>
      <c r="E181" s="75"/>
      <c r="F181" s="75" t="s">
        <v>248</v>
      </c>
      <c r="G181" s="75"/>
      <c r="H181" s="75"/>
      <c r="I181" s="75" t="s">
        <v>248</v>
      </c>
      <c r="J181" s="75"/>
      <c r="K181" s="75"/>
      <c r="L181" s="76"/>
    </row>
    <row r="182" spans="1:12" ht="21.75" thickBot="1" x14ac:dyDescent="0.3">
      <c r="A182" s="57">
        <v>181</v>
      </c>
      <c r="B182" s="42" t="s">
        <v>110</v>
      </c>
      <c r="C182" s="7">
        <v>0</v>
      </c>
      <c r="D182" s="8">
        <v>0</v>
      </c>
      <c r="E182" s="8">
        <v>0</v>
      </c>
      <c r="F182" s="8">
        <v>3.5714285714285712E-2</v>
      </c>
      <c r="G182" s="8">
        <v>0</v>
      </c>
      <c r="H182" s="8">
        <v>0</v>
      </c>
      <c r="I182" s="8">
        <v>3.5714285714285712E-2</v>
      </c>
      <c r="J182" s="8">
        <v>7.1428571428571425E-2</v>
      </c>
      <c r="K182" s="8">
        <v>3.5714285714285712E-2</v>
      </c>
      <c r="L182" s="9">
        <v>3.5714285714285712E-2</v>
      </c>
    </row>
    <row r="183" spans="1:12" ht="21.75" thickBot="1" x14ac:dyDescent="0.3">
      <c r="A183" s="57">
        <v>182</v>
      </c>
      <c r="B183" s="42" t="s">
        <v>110</v>
      </c>
      <c r="C183" s="74"/>
      <c r="D183" s="75"/>
      <c r="E183" s="75"/>
      <c r="F183" s="75"/>
      <c r="G183" s="75"/>
      <c r="H183" s="75"/>
      <c r="I183" s="75"/>
      <c r="J183" s="75"/>
      <c r="K183" s="75"/>
      <c r="L183" s="76"/>
    </row>
    <row r="184" spans="1:12" ht="21.75" thickBot="1" x14ac:dyDescent="0.3">
      <c r="A184" s="57">
        <v>183</v>
      </c>
      <c r="B184" s="41" t="s">
        <v>111</v>
      </c>
      <c r="C184" s="7">
        <v>3.5714285714285712E-2</v>
      </c>
      <c r="D184" s="8">
        <v>3.5714285714285712E-2</v>
      </c>
      <c r="E184" s="8">
        <v>7.1428571428571425E-2</v>
      </c>
      <c r="F184" s="8">
        <v>3.5714285714285712E-2</v>
      </c>
      <c r="G184" s="8">
        <v>7.1428571428571425E-2</v>
      </c>
      <c r="H184" s="8">
        <v>0</v>
      </c>
      <c r="I184" s="8">
        <v>0</v>
      </c>
      <c r="J184" s="8">
        <v>0</v>
      </c>
      <c r="K184" s="8">
        <v>7.1428571428571425E-2</v>
      </c>
      <c r="L184" s="9">
        <v>3.5714285714285712E-2</v>
      </c>
    </row>
    <row r="185" spans="1:12" ht="21.75" thickBot="1" x14ac:dyDescent="0.3">
      <c r="A185" s="57">
        <v>184</v>
      </c>
      <c r="B185" s="42" t="s">
        <v>111</v>
      </c>
      <c r="C185" s="74"/>
      <c r="D185" s="75"/>
      <c r="E185" s="75"/>
      <c r="F185" s="75"/>
      <c r="G185" s="75"/>
      <c r="H185" s="75"/>
      <c r="I185" s="75"/>
      <c r="J185" s="75"/>
      <c r="K185" s="75"/>
      <c r="L185" s="76"/>
    </row>
    <row r="186" spans="1:12" ht="21.75" thickBot="1" x14ac:dyDescent="0.3">
      <c r="A186" s="57">
        <v>185</v>
      </c>
      <c r="B186" s="42" t="s">
        <v>112</v>
      </c>
      <c r="C186" s="7">
        <v>0.21428571428571427</v>
      </c>
      <c r="D186" s="8">
        <v>0.2857142857142857</v>
      </c>
      <c r="E186" s="8">
        <v>0.2857142857142857</v>
      </c>
      <c r="F186" s="8">
        <v>0.32142857142857145</v>
      </c>
      <c r="G186" s="8">
        <v>0.2857142857142857</v>
      </c>
      <c r="H186" s="8">
        <v>0.35714285714285715</v>
      </c>
      <c r="I186" s="8">
        <v>0.2857142857142857</v>
      </c>
      <c r="J186" s="8">
        <v>0.25</v>
      </c>
      <c r="K186" s="8">
        <v>0.2857142857142857</v>
      </c>
      <c r="L186" s="9">
        <v>0.2857142857142857</v>
      </c>
    </row>
    <row r="187" spans="1:12" ht="21.75" thickBot="1" x14ac:dyDescent="0.3">
      <c r="A187" s="57">
        <v>186</v>
      </c>
      <c r="B187" s="42" t="s">
        <v>112</v>
      </c>
      <c r="C187" s="74"/>
      <c r="D187" s="75"/>
      <c r="E187" s="75"/>
      <c r="F187" s="75"/>
      <c r="G187" s="75"/>
      <c r="H187" s="75"/>
      <c r="I187" s="75"/>
      <c r="J187" s="75"/>
      <c r="K187" s="75"/>
      <c r="L187" s="76"/>
    </row>
    <row r="188" spans="1:12" ht="21.75" thickBot="1" x14ac:dyDescent="0.3">
      <c r="A188" s="57">
        <v>187</v>
      </c>
      <c r="B188" s="42" t="s">
        <v>113</v>
      </c>
      <c r="C188" s="7">
        <v>0.35714285714285715</v>
      </c>
      <c r="D188" s="8">
        <v>0.2857142857142857</v>
      </c>
      <c r="E188" s="8">
        <v>0.17857142857142858</v>
      </c>
      <c r="F188" s="8">
        <v>0.42857142857142855</v>
      </c>
      <c r="G188" s="8">
        <v>0.25</v>
      </c>
      <c r="H188" s="8">
        <v>0.32142857142857145</v>
      </c>
      <c r="I188" s="8">
        <v>0.25</v>
      </c>
      <c r="J188" s="8">
        <v>0.35714285714285715</v>
      </c>
      <c r="K188" s="8">
        <v>0.35714285714285715</v>
      </c>
      <c r="L188" s="9">
        <v>0.32142857142857145</v>
      </c>
    </row>
    <row r="189" spans="1:12" ht="21.75" thickBot="1" x14ac:dyDescent="0.3">
      <c r="A189" s="57">
        <v>188</v>
      </c>
      <c r="B189" s="42" t="s">
        <v>113</v>
      </c>
      <c r="C189" s="74"/>
      <c r="D189" s="75"/>
      <c r="E189" s="75"/>
      <c r="F189" s="75" t="s">
        <v>24</v>
      </c>
      <c r="G189" s="75"/>
      <c r="H189" s="75"/>
      <c r="I189" s="75"/>
      <c r="J189" s="75"/>
      <c r="K189" s="75"/>
      <c r="L189" s="76"/>
    </row>
    <row r="190" spans="1:12" ht="21.75" thickBot="1" x14ac:dyDescent="0.3">
      <c r="A190" s="57">
        <v>189</v>
      </c>
      <c r="B190" s="41" t="s">
        <v>114</v>
      </c>
      <c r="C190" s="7">
        <v>0.14285714285714285</v>
      </c>
      <c r="D190" s="8">
        <v>0.17857142857142858</v>
      </c>
      <c r="E190" s="8">
        <v>0.25</v>
      </c>
      <c r="F190" s="8">
        <v>0.2857142857142857</v>
      </c>
      <c r="G190" s="8">
        <v>0.21428571428571427</v>
      </c>
      <c r="H190" s="8">
        <v>0.14285714285714285</v>
      </c>
      <c r="I190" s="8">
        <v>0.21428571428571427</v>
      </c>
      <c r="J190" s="8">
        <v>0.17857142857142858</v>
      </c>
      <c r="K190" s="8">
        <v>0.21428571428571427</v>
      </c>
      <c r="L190" s="9">
        <v>0.10714285714285714</v>
      </c>
    </row>
    <row r="191" spans="1:12" ht="21.75" thickBot="1" x14ac:dyDescent="0.3">
      <c r="A191" s="57">
        <v>190</v>
      </c>
      <c r="B191" s="42" t="s">
        <v>114</v>
      </c>
      <c r="C191" s="74"/>
      <c r="D191" s="75"/>
      <c r="E191" s="75"/>
      <c r="F191" s="75" t="s">
        <v>36</v>
      </c>
      <c r="G191" s="75"/>
      <c r="H191" s="75"/>
      <c r="I191" s="75"/>
      <c r="J191" s="75"/>
      <c r="K191" s="75"/>
      <c r="L191" s="76"/>
    </row>
    <row r="192" spans="1:12" ht="21.75" thickBot="1" x14ac:dyDescent="0.3">
      <c r="A192" s="57">
        <v>191</v>
      </c>
      <c r="B192" s="42" t="s">
        <v>115</v>
      </c>
      <c r="C192" s="7">
        <v>0.17857142857142858</v>
      </c>
      <c r="D192" s="8">
        <v>0</v>
      </c>
      <c r="E192" s="8">
        <v>0.10714285714285714</v>
      </c>
      <c r="F192" s="8">
        <v>0.17857142857142858</v>
      </c>
      <c r="G192" s="8">
        <v>0.10714285714285714</v>
      </c>
      <c r="H192" s="8">
        <v>0.21428571428571427</v>
      </c>
      <c r="I192" s="8">
        <v>0.17857142857142858</v>
      </c>
      <c r="J192" s="8">
        <v>7.1428571428571425E-2</v>
      </c>
      <c r="K192" s="8">
        <v>0.10714285714285714</v>
      </c>
      <c r="L192" s="9">
        <v>0.21428571428571427</v>
      </c>
    </row>
    <row r="193" spans="1:12" ht="21.75" thickBot="1" x14ac:dyDescent="0.3">
      <c r="A193" s="57">
        <v>192</v>
      </c>
      <c r="B193" s="42" t="s">
        <v>115</v>
      </c>
      <c r="C193" s="74"/>
      <c r="D193" s="75"/>
      <c r="E193" s="75"/>
      <c r="F193" s="75"/>
      <c r="G193" s="75"/>
      <c r="H193" s="75"/>
      <c r="I193" s="75"/>
      <c r="J193" s="75"/>
      <c r="K193" s="75"/>
      <c r="L193" s="76"/>
    </row>
    <row r="194" spans="1:12" ht="21.75" thickBot="1" x14ac:dyDescent="0.3">
      <c r="A194" s="57">
        <v>193</v>
      </c>
      <c r="B194" s="42" t="s">
        <v>116</v>
      </c>
      <c r="C194" s="7">
        <v>0.14285714285714285</v>
      </c>
      <c r="D194" s="8">
        <v>0.17857142857142858</v>
      </c>
      <c r="E194" s="8">
        <v>0.2857142857142857</v>
      </c>
      <c r="F194" s="8">
        <v>0.17857142857142858</v>
      </c>
      <c r="G194" s="8">
        <v>7.1428571428571425E-2</v>
      </c>
      <c r="H194" s="8">
        <v>3.5714285714285712E-2</v>
      </c>
      <c r="I194" s="8">
        <v>0.14285714285714285</v>
      </c>
      <c r="J194" s="8">
        <v>0.10714285714285714</v>
      </c>
      <c r="K194" s="8">
        <v>0.17857142857142858</v>
      </c>
      <c r="L194" s="9">
        <v>0.21428571428571427</v>
      </c>
    </row>
    <row r="195" spans="1:12" ht="21.75" thickBot="1" x14ac:dyDescent="0.3">
      <c r="A195" s="57">
        <v>194</v>
      </c>
      <c r="B195" s="42" t="s">
        <v>116</v>
      </c>
      <c r="C195" s="74"/>
      <c r="D195" s="75" t="s">
        <v>42</v>
      </c>
      <c r="E195" s="75" t="s">
        <v>249</v>
      </c>
      <c r="F195" s="75" t="s">
        <v>42</v>
      </c>
      <c r="G195" s="75"/>
      <c r="H195" s="75"/>
      <c r="I195" s="75"/>
      <c r="J195" s="75"/>
      <c r="K195" s="75" t="s">
        <v>42</v>
      </c>
      <c r="L195" s="76" t="s">
        <v>27</v>
      </c>
    </row>
    <row r="196" spans="1:12" ht="21.75" thickBot="1" x14ac:dyDescent="0.3">
      <c r="A196" s="57">
        <v>195</v>
      </c>
      <c r="B196" s="41" t="s">
        <v>117</v>
      </c>
      <c r="C196" s="7">
        <v>0.14285714285714285</v>
      </c>
      <c r="D196" s="8">
        <v>0.17857142857142858</v>
      </c>
      <c r="E196" s="8">
        <v>0.17857142857142858</v>
      </c>
      <c r="F196" s="8">
        <v>0.14285714285714285</v>
      </c>
      <c r="G196" s="8">
        <v>0.14285714285714285</v>
      </c>
      <c r="H196" s="8">
        <v>0.10714285714285714</v>
      </c>
      <c r="I196" s="8">
        <v>0.14285714285714285</v>
      </c>
      <c r="J196" s="8">
        <v>0.21428571428571427</v>
      </c>
      <c r="K196" s="8">
        <v>0.21428571428571427</v>
      </c>
      <c r="L196" s="9">
        <v>0.10714285714285714</v>
      </c>
    </row>
    <row r="197" spans="1:12" ht="21.75" thickBot="1" x14ac:dyDescent="0.3">
      <c r="A197" s="57">
        <v>196</v>
      </c>
      <c r="B197" s="42" t="s">
        <v>117</v>
      </c>
      <c r="C197" s="74"/>
      <c r="D197" s="75"/>
      <c r="E197" s="75"/>
      <c r="F197" s="75"/>
      <c r="G197" s="75"/>
      <c r="H197" s="75"/>
      <c r="I197" s="75"/>
      <c r="J197" s="75"/>
      <c r="K197" s="75"/>
      <c r="L197" s="76"/>
    </row>
    <row r="198" spans="1:12" ht="21.75" thickBot="1" x14ac:dyDescent="0.3">
      <c r="A198" s="57">
        <v>197</v>
      </c>
      <c r="B198" s="42" t="s">
        <v>118</v>
      </c>
      <c r="C198" s="7">
        <v>0</v>
      </c>
      <c r="D198" s="8">
        <v>0</v>
      </c>
      <c r="E198" s="8">
        <v>0</v>
      </c>
      <c r="F198" s="8">
        <v>0</v>
      </c>
      <c r="G198" s="8">
        <v>0</v>
      </c>
      <c r="H198" s="8">
        <v>0</v>
      </c>
      <c r="I198" s="8">
        <v>0</v>
      </c>
      <c r="J198" s="8">
        <v>3.5714285714285712E-2</v>
      </c>
      <c r="K198" s="8">
        <v>3.5714285714285712E-2</v>
      </c>
      <c r="L198" s="9">
        <v>3.5714285714285712E-2</v>
      </c>
    </row>
    <row r="199" spans="1:12" ht="21.75" thickBot="1" x14ac:dyDescent="0.3">
      <c r="A199" s="57">
        <v>198</v>
      </c>
      <c r="B199" s="42" t="s">
        <v>118</v>
      </c>
      <c r="C199" s="74"/>
      <c r="D199" s="75"/>
      <c r="E199" s="75"/>
      <c r="F199" s="75"/>
      <c r="G199" s="75"/>
      <c r="H199" s="75"/>
      <c r="I199" s="75"/>
      <c r="J199" s="75"/>
      <c r="K199" s="75"/>
      <c r="L199" s="76"/>
    </row>
    <row r="200" spans="1:12" ht="21.75" thickBot="1" x14ac:dyDescent="0.3">
      <c r="A200" s="57">
        <v>199</v>
      </c>
      <c r="B200" s="42" t="s">
        <v>119</v>
      </c>
      <c r="C200" s="7">
        <v>0.10714285714285714</v>
      </c>
      <c r="D200" s="8">
        <v>0.10714285714285714</v>
      </c>
      <c r="E200" s="8">
        <v>0.14285714285714285</v>
      </c>
      <c r="F200" s="8">
        <v>0.25</v>
      </c>
      <c r="G200" s="8">
        <v>0.25</v>
      </c>
      <c r="H200" s="8">
        <v>0.2857142857142857</v>
      </c>
      <c r="I200" s="8">
        <v>0.25</v>
      </c>
      <c r="J200" s="8">
        <v>0.35714285714285715</v>
      </c>
      <c r="K200" s="8">
        <v>0.14285714285714285</v>
      </c>
      <c r="L200" s="9">
        <v>0.32142857142857145</v>
      </c>
    </row>
    <row r="201" spans="1:12" ht="21.75" thickBot="1" x14ac:dyDescent="0.3">
      <c r="A201" s="57">
        <v>200</v>
      </c>
      <c r="B201" s="39" t="s">
        <v>119</v>
      </c>
      <c r="C201" s="74"/>
      <c r="D201" s="75"/>
      <c r="E201" s="75"/>
      <c r="F201" s="75"/>
      <c r="G201" s="75"/>
      <c r="H201" s="75" t="s">
        <v>212</v>
      </c>
      <c r="I201" s="75"/>
      <c r="J201" s="75" t="s">
        <v>250</v>
      </c>
      <c r="K201" s="75"/>
      <c r="L201" s="76" t="s">
        <v>212</v>
      </c>
    </row>
    <row r="202" spans="1:12" ht="21.75" thickBot="1" x14ac:dyDescent="0.3">
      <c r="A202" s="57">
        <v>201</v>
      </c>
      <c r="B202" s="40" t="s">
        <v>121</v>
      </c>
      <c r="C202" s="7">
        <v>0</v>
      </c>
      <c r="D202" s="8">
        <v>0</v>
      </c>
      <c r="E202" s="8">
        <v>3.5714285714285712E-2</v>
      </c>
      <c r="F202" s="8">
        <v>0</v>
      </c>
      <c r="G202" s="8">
        <v>0</v>
      </c>
      <c r="H202" s="8">
        <v>0</v>
      </c>
      <c r="I202" s="8">
        <v>0</v>
      </c>
      <c r="J202" s="8">
        <v>3.5714285714285712E-2</v>
      </c>
      <c r="K202" s="8">
        <v>0</v>
      </c>
      <c r="L202" s="9">
        <v>0</v>
      </c>
    </row>
    <row r="203" spans="1:12" ht="21.75" thickBot="1" x14ac:dyDescent="0.3">
      <c r="A203" s="57">
        <v>202</v>
      </c>
      <c r="B203" s="40" t="s">
        <v>121</v>
      </c>
      <c r="C203" s="74"/>
      <c r="D203" s="75"/>
      <c r="E203" s="75"/>
      <c r="F203" s="75"/>
      <c r="G203" s="75"/>
      <c r="H203" s="75"/>
      <c r="I203" s="75"/>
      <c r="J203" s="75"/>
      <c r="K203" s="75"/>
      <c r="L203" s="76"/>
    </row>
    <row r="204" spans="1:12" ht="21.75" thickBot="1" x14ac:dyDescent="0.3">
      <c r="A204" s="57">
        <v>203</v>
      </c>
      <c r="B204" s="40" t="s">
        <v>122</v>
      </c>
      <c r="C204" s="7">
        <v>3.5714285714285712E-2</v>
      </c>
      <c r="D204" s="8">
        <v>7.1428571428571425E-2</v>
      </c>
      <c r="E204" s="8">
        <v>0.10714285714285714</v>
      </c>
      <c r="F204" s="8">
        <v>0</v>
      </c>
      <c r="G204" s="8">
        <v>7.1428571428571425E-2</v>
      </c>
      <c r="H204" s="8">
        <v>0</v>
      </c>
      <c r="I204" s="8">
        <v>0.10714285714285714</v>
      </c>
      <c r="J204" s="8">
        <v>3.5714285714285712E-2</v>
      </c>
      <c r="K204" s="8">
        <v>3.5714285714285712E-2</v>
      </c>
      <c r="L204" s="9">
        <v>0</v>
      </c>
    </row>
    <row r="205" spans="1:12" ht="21.75" thickBot="1" x14ac:dyDescent="0.3">
      <c r="A205" s="57">
        <v>204</v>
      </c>
      <c r="B205" s="40" t="s">
        <v>122</v>
      </c>
      <c r="C205" s="74"/>
      <c r="D205" s="75"/>
      <c r="E205" s="75"/>
      <c r="F205" s="75"/>
      <c r="G205" s="75"/>
      <c r="H205" s="75"/>
      <c r="I205" s="75"/>
      <c r="J205" s="75"/>
      <c r="K205" s="75"/>
      <c r="L205" s="76"/>
    </row>
    <row r="206" spans="1:12" ht="21.75" thickBot="1" x14ac:dyDescent="0.3">
      <c r="A206" s="57">
        <v>205</v>
      </c>
      <c r="B206" s="40" t="s">
        <v>123</v>
      </c>
      <c r="C206" s="7">
        <v>7.1428571428571425E-2</v>
      </c>
      <c r="D206" s="8">
        <v>0.25</v>
      </c>
      <c r="E206" s="8">
        <v>0.10714285714285714</v>
      </c>
      <c r="F206" s="8">
        <v>0.14285714285714285</v>
      </c>
      <c r="G206" s="8">
        <v>0.21428571428571427</v>
      </c>
      <c r="H206" s="8">
        <v>0.17857142857142858</v>
      </c>
      <c r="I206" s="8">
        <v>0.14285714285714285</v>
      </c>
      <c r="J206" s="8">
        <v>7.1428571428571425E-2</v>
      </c>
      <c r="K206" s="8">
        <v>0.10714285714285714</v>
      </c>
      <c r="L206" s="9">
        <v>0</v>
      </c>
    </row>
    <row r="207" spans="1:12" ht="21.75" thickBot="1" x14ac:dyDescent="0.3">
      <c r="A207" s="57">
        <v>206</v>
      </c>
      <c r="B207" s="41" t="s">
        <v>123</v>
      </c>
      <c r="C207" s="74"/>
      <c r="D207" s="75" t="s">
        <v>251</v>
      </c>
      <c r="E207" s="75"/>
      <c r="F207" s="75"/>
      <c r="G207" s="75"/>
      <c r="H207" s="75"/>
      <c r="I207" s="75"/>
      <c r="J207" s="75"/>
      <c r="K207" s="75"/>
      <c r="L207" s="76"/>
    </row>
    <row r="208" spans="1:12" ht="21.75" thickBot="1" x14ac:dyDescent="0.3">
      <c r="A208" s="57">
        <v>207</v>
      </c>
      <c r="B208" s="42" t="s">
        <v>124</v>
      </c>
      <c r="C208" s="7">
        <v>0.10714285714285714</v>
      </c>
      <c r="D208" s="8">
        <v>0.17857142857142858</v>
      </c>
      <c r="E208" s="8">
        <v>0.25</v>
      </c>
      <c r="F208" s="8">
        <v>0.17857142857142858</v>
      </c>
      <c r="G208" s="8">
        <v>0.17857142857142858</v>
      </c>
      <c r="H208" s="8">
        <v>0.21428571428571427</v>
      </c>
      <c r="I208" s="8">
        <v>0.21428571428571427</v>
      </c>
      <c r="J208" s="8">
        <v>0.10714285714285714</v>
      </c>
      <c r="K208" s="8">
        <v>0.21428571428571427</v>
      </c>
      <c r="L208" s="9">
        <v>0.17857142857142858</v>
      </c>
    </row>
    <row r="209" spans="1:12" ht="21.75" thickBot="1" x14ac:dyDescent="0.3">
      <c r="A209" s="57">
        <v>208</v>
      </c>
      <c r="B209" s="42" t="s">
        <v>124</v>
      </c>
      <c r="C209" s="74"/>
      <c r="D209" s="75"/>
      <c r="E209" s="75"/>
      <c r="F209" s="75"/>
      <c r="G209" s="75"/>
      <c r="H209" s="75"/>
      <c r="I209" s="75"/>
      <c r="J209" s="75"/>
      <c r="K209" s="75"/>
      <c r="L209" s="76"/>
    </row>
    <row r="210" spans="1:12" ht="21.75" thickBot="1" x14ac:dyDescent="0.3">
      <c r="A210" s="57">
        <v>209</v>
      </c>
      <c r="B210" s="42" t="s">
        <v>125</v>
      </c>
      <c r="C210" s="7">
        <v>0</v>
      </c>
      <c r="D210" s="8">
        <v>3.5714285714285712E-2</v>
      </c>
      <c r="E210" s="8">
        <v>7.1428571428571425E-2</v>
      </c>
      <c r="F210" s="8">
        <v>0</v>
      </c>
      <c r="G210" s="8">
        <v>0</v>
      </c>
      <c r="H210" s="8">
        <v>0.10714285714285714</v>
      </c>
      <c r="I210" s="8">
        <v>7.1428571428571425E-2</v>
      </c>
      <c r="J210" s="8">
        <v>0.14285714285714285</v>
      </c>
      <c r="K210" s="8">
        <v>0.10714285714285714</v>
      </c>
      <c r="L210" s="9">
        <v>7.1428571428571425E-2</v>
      </c>
    </row>
    <row r="211" spans="1:12" ht="21.75" thickBot="1" x14ac:dyDescent="0.3">
      <c r="A211" s="57">
        <v>210</v>
      </c>
      <c r="B211" s="42" t="s">
        <v>125</v>
      </c>
      <c r="C211" s="74"/>
      <c r="D211" s="75"/>
      <c r="E211" s="75"/>
      <c r="F211" s="75"/>
      <c r="G211" s="75"/>
      <c r="H211" s="75"/>
      <c r="I211" s="75"/>
      <c r="J211" s="75"/>
      <c r="K211" s="75"/>
      <c r="L211" s="76"/>
    </row>
    <row r="212" spans="1:12" ht="21.75" thickBot="1" x14ac:dyDescent="0.3">
      <c r="A212" s="57">
        <v>211</v>
      </c>
      <c r="B212" s="42" t="s">
        <v>126</v>
      </c>
      <c r="C212" s="7">
        <v>0</v>
      </c>
      <c r="D212" s="8">
        <v>0.10714285714285714</v>
      </c>
      <c r="E212" s="8">
        <v>0.10714285714285714</v>
      </c>
      <c r="F212" s="8">
        <v>7.1428571428571425E-2</v>
      </c>
      <c r="G212" s="8">
        <v>3.5714285714285712E-2</v>
      </c>
      <c r="H212" s="8">
        <v>0.14285714285714285</v>
      </c>
      <c r="I212" s="8">
        <v>0.10714285714285714</v>
      </c>
      <c r="J212" s="8">
        <v>0.10714285714285714</v>
      </c>
      <c r="K212" s="8">
        <v>7.1428571428571425E-2</v>
      </c>
      <c r="L212" s="9">
        <v>7.1428571428571425E-2</v>
      </c>
    </row>
    <row r="213" spans="1:12" ht="21.75" thickBot="1" x14ac:dyDescent="0.3">
      <c r="A213" s="57">
        <v>212</v>
      </c>
      <c r="B213" s="41" t="s">
        <v>126</v>
      </c>
      <c r="C213" s="74"/>
      <c r="D213" s="75"/>
      <c r="E213" s="75"/>
      <c r="F213" s="75"/>
      <c r="G213" s="75"/>
      <c r="H213" s="75"/>
      <c r="I213" s="75"/>
      <c r="J213" s="75"/>
      <c r="K213" s="75"/>
      <c r="L213" s="76"/>
    </row>
    <row r="214" spans="1:12" ht="21.75" thickBot="1" x14ac:dyDescent="0.3">
      <c r="A214" s="57">
        <v>213</v>
      </c>
      <c r="B214" s="42" t="s">
        <v>127</v>
      </c>
      <c r="C214" s="7">
        <v>3.5714285714285712E-2</v>
      </c>
      <c r="D214" s="8">
        <v>0.17857142857142858</v>
      </c>
      <c r="E214" s="8">
        <v>0.14285714285714285</v>
      </c>
      <c r="F214" s="8">
        <v>0</v>
      </c>
      <c r="G214" s="8">
        <v>0.10714285714285714</v>
      </c>
      <c r="H214" s="8">
        <v>0.17857142857142858</v>
      </c>
      <c r="I214" s="8">
        <v>3.5714285714285712E-2</v>
      </c>
      <c r="J214" s="8">
        <v>0.10714285714285714</v>
      </c>
      <c r="K214" s="8">
        <v>0.10714285714285714</v>
      </c>
      <c r="L214" s="9">
        <v>7.1428571428571425E-2</v>
      </c>
    </row>
    <row r="215" spans="1:12" ht="21.75" thickBot="1" x14ac:dyDescent="0.3">
      <c r="A215" s="57">
        <v>214</v>
      </c>
      <c r="B215" s="42" t="s">
        <v>127</v>
      </c>
      <c r="C215" s="74"/>
      <c r="D215" s="75" t="s">
        <v>252</v>
      </c>
      <c r="E215" s="75"/>
      <c r="F215" s="75"/>
      <c r="G215" s="75"/>
      <c r="H215" s="75" t="s">
        <v>252</v>
      </c>
      <c r="I215" s="75"/>
      <c r="J215" s="75"/>
      <c r="K215" s="75"/>
      <c r="L215" s="76"/>
    </row>
    <row r="216" spans="1:12" ht="21.75" thickBot="1" x14ac:dyDescent="0.3">
      <c r="A216" s="57">
        <v>215</v>
      </c>
      <c r="B216" s="42" t="s">
        <v>129</v>
      </c>
      <c r="C216" s="7">
        <v>0</v>
      </c>
      <c r="D216" s="8">
        <v>0</v>
      </c>
      <c r="E216" s="8">
        <v>3.5714285714285712E-2</v>
      </c>
      <c r="F216" s="8">
        <v>0</v>
      </c>
      <c r="G216" s="8">
        <v>3.5714285714285712E-2</v>
      </c>
      <c r="H216" s="8">
        <v>0</v>
      </c>
      <c r="I216" s="8">
        <v>0</v>
      </c>
      <c r="J216" s="8">
        <v>0</v>
      </c>
      <c r="K216" s="8">
        <v>0</v>
      </c>
      <c r="L216" s="9">
        <v>0</v>
      </c>
    </row>
    <row r="217" spans="1:12" ht="21.75" thickBot="1" x14ac:dyDescent="0.3">
      <c r="A217" s="57">
        <v>216</v>
      </c>
      <c r="B217" s="42" t="s">
        <v>129</v>
      </c>
      <c r="C217" s="74"/>
      <c r="D217" s="75"/>
      <c r="E217" s="75"/>
      <c r="F217" s="75"/>
      <c r="G217" s="75"/>
      <c r="H217" s="75"/>
      <c r="I217" s="75"/>
      <c r="J217" s="75"/>
      <c r="K217" s="75"/>
      <c r="L217" s="76"/>
    </row>
    <row r="218" spans="1:12" ht="21.75" thickBot="1" x14ac:dyDescent="0.3">
      <c r="A218" s="57">
        <v>217</v>
      </c>
      <c r="B218" s="42" t="s">
        <v>130</v>
      </c>
      <c r="C218" s="7">
        <v>0.21428571428571427</v>
      </c>
      <c r="D218" s="8">
        <v>0.10714285714285714</v>
      </c>
      <c r="E218" s="8">
        <v>0.2857142857142857</v>
      </c>
      <c r="F218" s="8">
        <v>0.10714285714285714</v>
      </c>
      <c r="G218" s="8">
        <v>0.25</v>
      </c>
      <c r="H218" s="8">
        <v>0.25</v>
      </c>
      <c r="I218" s="8">
        <v>0.32142857142857145</v>
      </c>
      <c r="J218" s="8">
        <v>0.17857142857142858</v>
      </c>
      <c r="K218" s="8">
        <v>0.32142857142857145</v>
      </c>
      <c r="L218" s="9">
        <v>0.4642857142857143</v>
      </c>
    </row>
    <row r="219" spans="1:12" ht="24.75" thickBot="1" x14ac:dyDescent="0.3">
      <c r="A219" s="57">
        <v>218</v>
      </c>
      <c r="B219" s="41" t="s">
        <v>130</v>
      </c>
      <c r="C219" s="74"/>
      <c r="D219" s="75"/>
      <c r="E219" s="75" t="s">
        <v>243</v>
      </c>
      <c r="F219" s="75"/>
      <c r="G219" s="75"/>
      <c r="H219" s="75"/>
      <c r="I219" s="75" t="s">
        <v>243</v>
      </c>
      <c r="J219" s="75"/>
      <c r="K219" s="75" t="s">
        <v>243</v>
      </c>
      <c r="L219" s="76" t="s">
        <v>253</v>
      </c>
    </row>
    <row r="220" spans="1:12" ht="21.75" thickBot="1" x14ac:dyDescent="0.3">
      <c r="A220" s="57">
        <v>219</v>
      </c>
      <c r="B220" s="42" t="s">
        <v>131</v>
      </c>
      <c r="C220" s="7">
        <v>0</v>
      </c>
      <c r="D220" s="8">
        <v>0</v>
      </c>
      <c r="E220" s="8">
        <v>3.5714285714285712E-2</v>
      </c>
      <c r="F220" s="8">
        <v>0</v>
      </c>
      <c r="G220" s="8">
        <v>3.5714285714285712E-2</v>
      </c>
      <c r="H220" s="8">
        <v>0</v>
      </c>
      <c r="I220" s="8">
        <v>0</v>
      </c>
      <c r="J220" s="8">
        <v>3.5714285714285712E-2</v>
      </c>
      <c r="K220" s="8">
        <v>0</v>
      </c>
      <c r="L220" s="9">
        <v>0</v>
      </c>
    </row>
    <row r="221" spans="1:12" ht="21.75" thickBot="1" x14ac:dyDescent="0.3">
      <c r="A221" s="57">
        <v>220</v>
      </c>
      <c r="B221" s="42" t="s">
        <v>131</v>
      </c>
      <c r="C221" s="74"/>
      <c r="D221" s="75"/>
      <c r="E221" s="75"/>
      <c r="F221" s="75"/>
      <c r="G221" s="75"/>
      <c r="H221" s="75"/>
      <c r="I221" s="75"/>
      <c r="J221" s="75"/>
      <c r="K221" s="75"/>
      <c r="L221" s="76"/>
    </row>
    <row r="222" spans="1:12" ht="21.75" thickBot="1" x14ac:dyDescent="0.3">
      <c r="A222" s="57">
        <v>221</v>
      </c>
      <c r="B222" s="42" t="s">
        <v>132</v>
      </c>
      <c r="C222" s="7">
        <v>0.25</v>
      </c>
      <c r="D222" s="8">
        <v>0.17857142857142858</v>
      </c>
      <c r="E222" s="8">
        <v>0.14285714285714285</v>
      </c>
      <c r="F222" s="8">
        <v>0.10714285714285714</v>
      </c>
      <c r="G222" s="8">
        <v>0.10714285714285714</v>
      </c>
      <c r="H222" s="8">
        <v>3.5714285714285712E-2</v>
      </c>
      <c r="I222" s="8">
        <v>0.21428571428571427</v>
      </c>
      <c r="J222" s="8">
        <v>7.1428571428571425E-2</v>
      </c>
      <c r="K222" s="8">
        <v>0.10714285714285714</v>
      </c>
      <c r="L222" s="9">
        <v>0.2857142857142857</v>
      </c>
    </row>
    <row r="223" spans="1:12" ht="21.75" thickBot="1" x14ac:dyDescent="0.3">
      <c r="A223" s="57">
        <v>222</v>
      </c>
      <c r="B223" s="42" t="s">
        <v>132</v>
      </c>
      <c r="C223" s="74" t="s">
        <v>172</v>
      </c>
      <c r="D223" s="75" t="s">
        <v>42</v>
      </c>
      <c r="E223" s="75"/>
      <c r="F223" s="75"/>
      <c r="G223" s="75"/>
      <c r="H223" s="75"/>
      <c r="I223" s="75" t="s">
        <v>27</v>
      </c>
      <c r="J223" s="75"/>
      <c r="K223" s="75"/>
      <c r="L223" s="76" t="s">
        <v>254</v>
      </c>
    </row>
    <row r="224" spans="1:12" ht="21.75" thickBot="1" x14ac:dyDescent="0.3">
      <c r="A224" s="57">
        <v>223</v>
      </c>
      <c r="B224" s="42" t="s">
        <v>133</v>
      </c>
      <c r="C224" s="7">
        <v>0</v>
      </c>
      <c r="D224" s="8">
        <v>0</v>
      </c>
      <c r="E224" s="8">
        <v>0</v>
      </c>
      <c r="F224" s="8">
        <v>0</v>
      </c>
      <c r="G224" s="8">
        <v>3.5714285714285712E-2</v>
      </c>
      <c r="H224" s="8">
        <v>0</v>
      </c>
      <c r="I224" s="8">
        <v>0</v>
      </c>
      <c r="J224" s="8">
        <v>3.5714285714285712E-2</v>
      </c>
      <c r="K224" s="8">
        <v>0</v>
      </c>
      <c r="L224" s="9">
        <v>0</v>
      </c>
    </row>
    <row r="225" spans="1:12" ht="21.75" thickBot="1" x14ac:dyDescent="0.3">
      <c r="A225" s="57">
        <v>224</v>
      </c>
      <c r="B225" s="41" t="s">
        <v>133</v>
      </c>
      <c r="C225" s="74"/>
      <c r="D225" s="75"/>
      <c r="E225" s="75"/>
      <c r="F225" s="75"/>
      <c r="G225" s="75"/>
      <c r="H225" s="75"/>
      <c r="I225" s="75"/>
      <c r="J225" s="75"/>
      <c r="K225" s="75"/>
      <c r="L225" s="76"/>
    </row>
    <row r="226" spans="1:12" ht="21.75" thickBot="1" x14ac:dyDescent="0.3">
      <c r="A226" s="57">
        <v>225</v>
      </c>
      <c r="B226" s="42" t="s">
        <v>134</v>
      </c>
      <c r="C226" s="7">
        <v>3.5714285714285712E-2</v>
      </c>
      <c r="D226" s="8">
        <v>7.1428571428571425E-2</v>
      </c>
      <c r="E226" s="8">
        <v>0</v>
      </c>
      <c r="F226" s="8">
        <v>3.5714285714285712E-2</v>
      </c>
      <c r="G226" s="8">
        <v>7.1428571428571425E-2</v>
      </c>
      <c r="H226" s="8">
        <v>0</v>
      </c>
      <c r="I226" s="8">
        <v>0</v>
      </c>
      <c r="J226" s="8">
        <v>3.5714285714285712E-2</v>
      </c>
      <c r="K226" s="8">
        <v>0</v>
      </c>
      <c r="L226" s="9">
        <v>3.5714285714285712E-2</v>
      </c>
    </row>
    <row r="227" spans="1:12" ht="21.75" thickBot="1" x14ac:dyDescent="0.3">
      <c r="A227" s="57">
        <v>226</v>
      </c>
      <c r="B227" s="42" t="s">
        <v>134</v>
      </c>
      <c r="C227" s="74"/>
      <c r="D227" s="75"/>
      <c r="E227" s="75"/>
      <c r="F227" s="75"/>
      <c r="G227" s="75"/>
      <c r="H227" s="75"/>
      <c r="I227" s="75"/>
      <c r="J227" s="75"/>
      <c r="K227" s="75"/>
      <c r="L227" s="76"/>
    </row>
    <row r="228" spans="1:12" ht="21.75" thickBot="1" x14ac:dyDescent="0.3">
      <c r="A228" s="57">
        <v>227</v>
      </c>
      <c r="B228" s="42" t="s">
        <v>135</v>
      </c>
      <c r="C228" s="7">
        <v>0.35714285714285715</v>
      </c>
      <c r="D228" s="8">
        <v>0.2857142857142857</v>
      </c>
      <c r="E228" s="8">
        <v>0.32142857142857145</v>
      </c>
      <c r="F228" s="8">
        <v>0.32142857142857145</v>
      </c>
      <c r="G228" s="8">
        <v>0.21428571428571427</v>
      </c>
      <c r="H228" s="8">
        <v>0.42857142857142855</v>
      </c>
      <c r="I228" s="8">
        <v>0.35714285714285715</v>
      </c>
      <c r="J228" s="8">
        <v>0.5</v>
      </c>
      <c r="K228" s="8">
        <v>0.21428571428571427</v>
      </c>
      <c r="L228" s="9">
        <v>0.32142857142857145</v>
      </c>
    </row>
    <row r="229" spans="1:12" ht="21.75" thickBot="1" x14ac:dyDescent="0.3">
      <c r="A229" s="57">
        <v>228</v>
      </c>
      <c r="B229" s="42" t="s">
        <v>135</v>
      </c>
      <c r="C229" s="74"/>
      <c r="D229" s="75"/>
      <c r="E229" s="75"/>
      <c r="F229" s="75"/>
      <c r="G229" s="75"/>
      <c r="H229" s="75" t="s">
        <v>224</v>
      </c>
      <c r="I229" s="75"/>
      <c r="J229" s="75" t="s">
        <v>102</v>
      </c>
      <c r="K229" s="75"/>
      <c r="L229" s="76"/>
    </row>
    <row r="230" spans="1:12" ht="21.75" thickBot="1" x14ac:dyDescent="0.3">
      <c r="A230" s="57">
        <v>229</v>
      </c>
      <c r="B230" s="42" t="s">
        <v>136</v>
      </c>
      <c r="C230" s="7">
        <v>7.1428571428571425E-2</v>
      </c>
      <c r="D230" s="8">
        <v>0</v>
      </c>
      <c r="E230" s="8">
        <v>0</v>
      </c>
      <c r="F230" s="8">
        <v>0</v>
      </c>
      <c r="G230" s="8">
        <v>7.1428571428571425E-2</v>
      </c>
      <c r="H230" s="8">
        <v>0</v>
      </c>
      <c r="I230" s="8">
        <v>0</v>
      </c>
      <c r="J230" s="8">
        <v>3.5714285714285712E-2</v>
      </c>
      <c r="K230" s="8">
        <v>7.1428571428571425E-2</v>
      </c>
      <c r="L230" s="9">
        <v>7.1428571428571425E-2</v>
      </c>
    </row>
    <row r="231" spans="1:12" ht="21.75" thickBot="1" x14ac:dyDescent="0.3">
      <c r="A231" s="57">
        <v>230</v>
      </c>
      <c r="B231" s="41" t="s">
        <v>136</v>
      </c>
      <c r="C231" s="74"/>
      <c r="D231" s="75"/>
      <c r="E231" s="75"/>
      <c r="F231" s="75"/>
      <c r="G231" s="75"/>
      <c r="H231" s="75"/>
      <c r="I231" s="75"/>
      <c r="J231" s="75"/>
      <c r="K231" s="75"/>
      <c r="L231" s="76"/>
    </row>
    <row r="232" spans="1:12" ht="21.75" thickBot="1" x14ac:dyDescent="0.3">
      <c r="A232" s="57">
        <v>231</v>
      </c>
      <c r="B232" s="42" t="s">
        <v>137</v>
      </c>
      <c r="C232" s="7">
        <v>0</v>
      </c>
      <c r="D232" s="8">
        <v>7.1428571428571425E-2</v>
      </c>
      <c r="E232" s="8">
        <v>0</v>
      </c>
      <c r="F232" s="8">
        <v>0</v>
      </c>
      <c r="G232" s="8">
        <v>3.5714285714285712E-2</v>
      </c>
      <c r="H232" s="8">
        <v>0</v>
      </c>
      <c r="I232" s="8">
        <v>0</v>
      </c>
      <c r="J232" s="8">
        <v>0</v>
      </c>
      <c r="K232" s="8">
        <v>0</v>
      </c>
      <c r="L232" s="9">
        <v>3.5714285714285712E-2</v>
      </c>
    </row>
    <row r="233" spans="1:12" ht="21.75" thickBot="1" x14ac:dyDescent="0.3">
      <c r="A233" s="57">
        <v>232</v>
      </c>
      <c r="B233" s="42" t="s">
        <v>137</v>
      </c>
      <c r="C233" s="74"/>
      <c r="D233" s="75"/>
      <c r="E233" s="75"/>
      <c r="F233" s="75"/>
      <c r="G233" s="75"/>
      <c r="H233" s="75"/>
      <c r="I233" s="75"/>
      <c r="J233" s="75"/>
      <c r="K233" s="75"/>
      <c r="L233" s="76"/>
    </row>
    <row r="234" spans="1:12" ht="21.75" thickBot="1" x14ac:dyDescent="0.3">
      <c r="A234" s="57">
        <v>233</v>
      </c>
      <c r="B234" s="42" t="s">
        <v>138</v>
      </c>
      <c r="C234" s="43"/>
      <c r="D234" s="43"/>
      <c r="E234" s="43"/>
      <c r="F234" s="43"/>
      <c r="G234" s="43"/>
      <c r="H234" s="43"/>
      <c r="I234" s="43"/>
      <c r="J234" s="43"/>
      <c r="K234" s="43"/>
      <c r="L234" s="43"/>
    </row>
    <row r="235" spans="1:12" ht="21.75" thickBot="1" x14ac:dyDescent="0.3">
      <c r="A235" s="57">
        <v>234</v>
      </c>
      <c r="B235" s="42" t="s">
        <v>138</v>
      </c>
      <c r="C235" s="43"/>
      <c r="D235" s="43"/>
      <c r="E235" s="43"/>
      <c r="F235" s="43"/>
      <c r="G235" s="43"/>
      <c r="H235" s="43"/>
      <c r="I235" s="43"/>
      <c r="J235" s="43"/>
      <c r="K235" s="43"/>
      <c r="L235" s="43"/>
    </row>
    <row r="236" spans="1:12" ht="21" x14ac:dyDescent="0.25">
      <c r="A236" s="57">
        <v>235</v>
      </c>
      <c r="B236" s="44"/>
      <c r="C236" s="43"/>
      <c r="D236" s="43"/>
      <c r="E236" s="43"/>
      <c r="F236" s="43"/>
      <c r="G236" s="43"/>
      <c r="H236" s="43"/>
      <c r="I236" s="43"/>
      <c r="J236" s="43"/>
      <c r="K236" s="43"/>
      <c r="L236" s="43"/>
    </row>
    <row r="237" spans="1:12" ht="21.75" thickBot="1" x14ac:dyDescent="0.3">
      <c r="A237" s="57">
        <v>236</v>
      </c>
      <c r="B237" s="37" t="s">
        <v>139</v>
      </c>
      <c r="C237" s="38"/>
      <c r="D237" s="38"/>
      <c r="E237" s="38"/>
      <c r="F237" s="38"/>
      <c r="G237" s="38"/>
      <c r="H237" s="38"/>
      <c r="I237" s="38"/>
      <c r="J237" s="38"/>
      <c r="K237" s="38"/>
      <c r="L237" s="38"/>
    </row>
    <row r="238" spans="1:12" ht="21.75" thickBot="1" x14ac:dyDescent="0.3">
      <c r="A238" s="57">
        <v>237</v>
      </c>
      <c r="B238" s="45" t="s">
        <v>140</v>
      </c>
      <c r="C238" s="7">
        <v>0.25</v>
      </c>
      <c r="D238" s="8">
        <v>0.21428571428571427</v>
      </c>
      <c r="E238" s="8">
        <v>0.35714285714285715</v>
      </c>
      <c r="F238" s="8">
        <v>0.35714285714285715</v>
      </c>
      <c r="G238" s="8">
        <v>0.32142857142857145</v>
      </c>
      <c r="H238" s="8">
        <v>0.25</v>
      </c>
      <c r="I238" s="8">
        <v>0.32142857142857145</v>
      </c>
      <c r="J238" s="8">
        <v>0.21428571428571427</v>
      </c>
      <c r="K238" s="8">
        <v>0.35714285714285715</v>
      </c>
      <c r="L238" s="9">
        <v>0.42857142857142855</v>
      </c>
    </row>
    <row r="239" spans="1:12" ht="21.75" thickBot="1" x14ac:dyDescent="0.3">
      <c r="A239" s="57">
        <v>238</v>
      </c>
      <c r="B239" s="46" t="s">
        <v>140</v>
      </c>
      <c r="C239" s="74"/>
      <c r="D239" s="75"/>
      <c r="E239" s="75"/>
      <c r="F239" s="75"/>
      <c r="G239" s="75"/>
      <c r="H239" s="75"/>
      <c r="I239" s="75"/>
      <c r="J239" s="75"/>
      <c r="K239" s="75"/>
      <c r="L239" s="76" t="s">
        <v>255</v>
      </c>
    </row>
    <row r="240" spans="1:12" ht="21.75" thickBot="1" x14ac:dyDescent="0.3">
      <c r="A240" s="57">
        <v>239</v>
      </c>
      <c r="B240" s="46" t="s">
        <v>141</v>
      </c>
      <c r="C240" s="7">
        <v>7.1428571428571425E-2</v>
      </c>
      <c r="D240" s="8">
        <v>0.17857142857142858</v>
      </c>
      <c r="E240" s="8">
        <v>0.25</v>
      </c>
      <c r="F240" s="8">
        <v>0.14285714285714285</v>
      </c>
      <c r="G240" s="8">
        <v>7.1428571428571425E-2</v>
      </c>
      <c r="H240" s="8">
        <v>0.17857142857142858</v>
      </c>
      <c r="I240" s="8">
        <v>0.17857142857142858</v>
      </c>
      <c r="J240" s="8">
        <v>7.1428571428571425E-2</v>
      </c>
      <c r="K240" s="8">
        <v>0.14285714285714285</v>
      </c>
      <c r="L240" s="9">
        <v>0.21428571428571427</v>
      </c>
    </row>
    <row r="241" spans="1:12" ht="21.75" thickBot="1" x14ac:dyDescent="0.3">
      <c r="A241" s="57">
        <v>240</v>
      </c>
      <c r="B241" s="46" t="s">
        <v>141</v>
      </c>
      <c r="C241" s="74"/>
      <c r="D241" s="75"/>
      <c r="E241" s="75" t="s">
        <v>256</v>
      </c>
      <c r="F241" s="75"/>
      <c r="G241" s="75"/>
      <c r="H241" s="75"/>
      <c r="I241" s="75"/>
      <c r="J241" s="75"/>
      <c r="K241" s="75"/>
      <c r="L241" s="76"/>
    </row>
    <row r="242" spans="1:12" ht="21.75" thickBot="1" x14ac:dyDescent="0.3">
      <c r="A242" s="57">
        <v>241</v>
      </c>
      <c r="B242" s="46" t="s">
        <v>142</v>
      </c>
      <c r="C242" s="7">
        <v>0.21428571428571427</v>
      </c>
      <c r="D242" s="8">
        <v>0.25</v>
      </c>
      <c r="E242" s="8">
        <v>0.21428571428571427</v>
      </c>
      <c r="F242" s="8">
        <v>0.25</v>
      </c>
      <c r="G242" s="8">
        <v>0.21428571428571427</v>
      </c>
      <c r="H242" s="8">
        <v>0.21428571428571427</v>
      </c>
      <c r="I242" s="8">
        <v>0.21428571428571427</v>
      </c>
      <c r="J242" s="8">
        <v>0.2857142857142857</v>
      </c>
      <c r="K242" s="8">
        <v>0.21428571428571427</v>
      </c>
      <c r="L242" s="9">
        <v>0.25</v>
      </c>
    </row>
    <row r="243" spans="1:12" ht="21.75" thickBot="1" x14ac:dyDescent="0.3">
      <c r="A243" s="57">
        <v>242</v>
      </c>
      <c r="B243" s="46" t="s">
        <v>142</v>
      </c>
      <c r="C243" s="74"/>
      <c r="D243" s="75"/>
      <c r="E243" s="75"/>
      <c r="F243" s="75"/>
      <c r="G243" s="75"/>
      <c r="H243" s="75"/>
      <c r="I243" s="75"/>
      <c r="J243" s="75"/>
      <c r="K243" s="75"/>
      <c r="L243" s="76"/>
    </row>
    <row r="244" spans="1:12" ht="21.75" thickBot="1" x14ac:dyDescent="0.3">
      <c r="A244" s="57">
        <v>243</v>
      </c>
      <c r="B244" s="46" t="s">
        <v>143</v>
      </c>
      <c r="C244" s="7">
        <v>0.2857142857142857</v>
      </c>
      <c r="D244" s="8">
        <v>0.2857142857142857</v>
      </c>
      <c r="E244" s="8">
        <v>0.21428571428571427</v>
      </c>
      <c r="F244" s="8">
        <v>0.25</v>
      </c>
      <c r="G244" s="8">
        <v>0.32142857142857145</v>
      </c>
      <c r="H244" s="8">
        <v>0.32142857142857145</v>
      </c>
      <c r="I244" s="8">
        <v>0.39285714285714285</v>
      </c>
      <c r="J244" s="8">
        <v>0.39285714285714285</v>
      </c>
      <c r="K244" s="8">
        <v>0.35714285714285715</v>
      </c>
      <c r="L244" s="9">
        <v>0.25</v>
      </c>
    </row>
    <row r="245" spans="1:12" ht="21.75" thickBot="1" x14ac:dyDescent="0.3">
      <c r="A245" s="57">
        <v>244</v>
      </c>
      <c r="B245" s="46" t="s">
        <v>143</v>
      </c>
      <c r="C245" s="74"/>
      <c r="D245" s="75"/>
      <c r="E245" s="75"/>
      <c r="F245" s="75"/>
      <c r="G245" s="75"/>
      <c r="H245" s="75"/>
      <c r="I245" s="75"/>
      <c r="J245" s="75"/>
      <c r="K245" s="75"/>
      <c r="L245" s="76"/>
    </row>
    <row r="246" spans="1:12" ht="21.75" thickBot="1" x14ac:dyDescent="0.3">
      <c r="A246" s="57">
        <v>245</v>
      </c>
      <c r="B246" s="47" t="s">
        <v>144</v>
      </c>
      <c r="C246" s="7">
        <v>0.17857142857142858</v>
      </c>
      <c r="D246" s="8">
        <v>0.17857142857142858</v>
      </c>
      <c r="E246" s="8">
        <v>0.17857142857142858</v>
      </c>
      <c r="F246" s="8">
        <v>0.17857142857142858</v>
      </c>
      <c r="G246" s="8">
        <v>0.21428571428571427</v>
      </c>
      <c r="H246" s="8">
        <v>0.25</v>
      </c>
      <c r="I246" s="8">
        <v>0.14285714285714285</v>
      </c>
      <c r="J246" s="8">
        <v>0.17857142857142858</v>
      </c>
      <c r="K246" s="8">
        <v>7.1428571428571425E-2</v>
      </c>
      <c r="L246" s="9">
        <v>0.21428571428571427</v>
      </c>
    </row>
    <row r="247" spans="1:12" ht="21.75" thickBot="1" x14ac:dyDescent="0.3">
      <c r="A247" s="57">
        <v>246</v>
      </c>
      <c r="B247" s="48" t="s">
        <v>144</v>
      </c>
      <c r="C247" s="74"/>
      <c r="D247" s="75"/>
      <c r="E247" s="75"/>
      <c r="F247" s="75"/>
      <c r="G247" s="75"/>
      <c r="H247" s="75" t="s">
        <v>71</v>
      </c>
      <c r="I247" s="75"/>
      <c r="J247" s="75"/>
      <c r="K247" s="75"/>
      <c r="L247" s="76"/>
    </row>
    <row r="248" spans="1:12" ht="21.75" thickBot="1" x14ac:dyDescent="0.3">
      <c r="A248" s="57">
        <v>247</v>
      </c>
      <c r="B248" s="48" t="s">
        <v>145</v>
      </c>
      <c r="C248" s="7">
        <v>0.10714285714285714</v>
      </c>
      <c r="D248" s="8">
        <v>0.32142857142857145</v>
      </c>
      <c r="E248" s="8">
        <v>0.25</v>
      </c>
      <c r="F248" s="8">
        <v>7.1428571428571425E-2</v>
      </c>
      <c r="G248" s="8">
        <v>0.21428571428571427</v>
      </c>
      <c r="H248" s="8">
        <v>0.25</v>
      </c>
      <c r="I248" s="8">
        <v>0.17857142857142858</v>
      </c>
      <c r="J248" s="8">
        <v>0.17857142857142858</v>
      </c>
      <c r="K248" s="8">
        <v>0.21428571428571427</v>
      </c>
      <c r="L248" s="9">
        <v>0.32142857142857145</v>
      </c>
    </row>
    <row r="249" spans="1:12" ht="21.75" thickBot="1" x14ac:dyDescent="0.3">
      <c r="A249" s="57">
        <v>248</v>
      </c>
      <c r="B249" s="48" t="s">
        <v>145</v>
      </c>
      <c r="C249" s="74"/>
      <c r="D249" s="75" t="s">
        <v>258</v>
      </c>
      <c r="E249" s="75" t="s">
        <v>61</v>
      </c>
      <c r="F249" s="75"/>
      <c r="G249" s="75"/>
      <c r="H249" s="75" t="s">
        <v>61</v>
      </c>
      <c r="I249" s="75"/>
      <c r="J249" s="75"/>
      <c r="K249" s="75"/>
      <c r="L249" s="76" t="s">
        <v>258</v>
      </c>
    </row>
    <row r="250" spans="1:12" ht="21.75" thickBot="1" x14ac:dyDescent="0.3">
      <c r="A250" s="57">
        <v>249</v>
      </c>
      <c r="B250" s="48" t="s">
        <v>146</v>
      </c>
      <c r="C250" s="7">
        <v>0.32142857142857145</v>
      </c>
      <c r="D250" s="8">
        <v>0.35714285714285715</v>
      </c>
      <c r="E250" s="8">
        <v>0.39285714285714285</v>
      </c>
      <c r="F250" s="8">
        <v>0.42857142857142855</v>
      </c>
      <c r="G250" s="8">
        <v>0.32142857142857145</v>
      </c>
      <c r="H250" s="8">
        <v>0.35714285714285715</v>
      </c>
      <c r="I250" s="8">
        <v>0.32142857142857145</v>
      </c>
      <c r="J250" s="8">
        <v>0.21428571428571427</v>
      </c>
      <c r="K250" s="8">
        <v>0.42857142857142855</v>
      </c>
      <c r="L250" s="9">
        <v>0.42857142857142855</v>
      </c>
    </row>
    <row r="251" spans="1:12" ht="21.75" thickBot="1" x14ac:dyDescent="0.3">
      <c r="A251" s="57">
        <v>250</v>
      </c>
      <c r="B251" s="48" t="s">
        <v>146</v>
      </c>
      <c r="C251" s="74"/>
      <c r="D251" s="75"/>
      <c r="E251" s="75"/>
      <c r="F251" s="75" t="s">
        <v>89</v>
      </c>
      <c r="G251" s="75"/>
      <c r="H251" s="75"/>
      <c r="I251" s="75"/>
      <c r="J251" s="75"/>
      <c r="K251" s="75" t="s">
        <v>89</v>
      </c>
      <c r="L251" s="76" t="s">
        <v>89</v>
      </c>
    </row>
    <row r="252" spans="1:12" ht="21.75" thickBot="1" x14ac:dyDescent="0.3">
      <c r="A252" s="57">
        <v>251</v>
      </c>
      <c r="B252" s="48" t="s">
        <v>147</v>
      </c>
      <c r="C252" s="7">
        <v>0.35714285714285715</v>
      </c>
      <c r="D252" s="8">
        <v>0.35714285714285715</v>
      </c>
      <c r="E252" s="8">
        <v>0.35714285714285715</v>
      </c>
      <c r="F252" s="8">
        <v>0.2857142857142857</v>
      </c>
      <c r="G252" s="8">
        <v>0.35714285714285715</v>
      </c>
      <c r="H252" s="8">
        <v>0.2857142857142857</v>
      </c>
      <c r="I252" s="8">
        <v>0.42857142857142855</v>
      </c>
      <c r="J252" s="8">
        <v>0.25</v>
      </c>
      <c r="K252" s="8">
        <v>0.17857142857142858</v>
      </c>
      <c r="L252" s="9">
        <v>0.35714285714285715</v>
      </c>
    </row>
    <row r="253" spans="1:12" ht="21.75" thickBot="1" x14ac:dyDescent="0.3">
      <c r="A253" s="57">
        <v>252</v>
      </c>
      <c r="B253" s="48" t="s">
        <v>147</v>
      </c>
      <c r="C253" s="74"/>
      <c r="D253" s="75"/>
      <c r="E253" s="75"/>
      <c r="F253" s="75"/>
      <c r="G253" s="75"/>
      <c r="H253" s="75"/>
      <c r="I253" s="75" t="s">
        <v>30</v>
      </c>
      <c r="J253" s="75"/>
      <c r="K253" s="75"/>
      <c r="L253" s="76"/>
    </row>
    <row r="254" spans="1:12" ht="21.75" thickBot="1" x14ac:dyDescent="0.3">
      <c r="A254" s="57">
        <v>253</v>
      </c>
      <c r="B254" s="47" t="s">
        <v>148</v>
      </c>
      <c r="C254" s="7">
        <v>0.42857142857142855</v>
      </c>
      <c r="D254" s="8">
        <v>0.42857142857142855</v>
      </c>
      <c r="E254" s="8">
        <v>0.42857142857142855</v>
      </c>
      <c r="F254" s="8">
        <v>0.39285714285714285</v>
      </c>
      <c r="G254" s="8">
        <v>0.5357142857142857</v>
      </c>
      <c r="H254" s="8">
        <v>0.5</v>
      </c>
      <c r="I254" s="8">
        <v>0.35714285714285715</v>
      </c>
      <c r="J254" s="8">
        <v>0.6071428571428571</v>
      </c>
      <c r="K254" s="8">
        <v>0.4642857142857143</v>
      </c>
      <c r="L254" s="9">
        <v>0.5</v>
      </c>
    </row>
    <row r="255" spans="1:12" ht="21.75" thickBot="1" x14ac:dyDescent="0.3">
      <c r="A255" s="57">
        <v>254</v>
      </c>
      <c r="B255" s="48" t="s">
        <v>148</v>
      </c>
      <c r="C255" s="74"/>
      <c r="D255" s="75"/>
      <c r="E255" s="75"/>
      <c r="F255" s="75"/>
      <c r="G255" s="75"/>
      <c r="H255" s="75"/>
      <c r="I255" s="75"/>
      <c r="J255" s="75" t="s">
        <v>91</v>
      </c>
      <c r="K255" s="75"/>
      <c r="L255" s="76"/>
    </row>
    <row r="256" spans="1:12" ht="21.75" thickBot="1" x14ac:dyDescent="0.3">
      <c r="A256" s="57">
        <v>255</v>
      </c>
      <c r="B256" s="48" t="s">
        <v>149</v>
      </c>
      <c r="C256" s="7">
        <v>0.17857142857142858</v>
      </c>
      <c r="D256" s="8">
        <v>0.2857142857142857</v>
      </c>
      <c r="E256" s="8">
        <v>0.2857142857142857</v>
      </c>
      <c r="F256" s="8">
        <v>0.21428571428571427</v>
      </c>
      <c r="G256" s="8">
        <v>0.17857142857142858</v>
      </c>
      <c r="H256" s="8">
        <v>0.17857142857142858</v>
      </c>
      <c r="I256" s="8">
        <v>0.10714285714285714</v>
      </c>
      <c r="J256" s="8">
        <v>0.25</v>
      </c>
      <c r="K256" s="8">
        <v>0.2857142857142857</v>
      </c>
      <c r="L256" s="9">
        <v>0.2857142857142857</v>
      </c>
    </row>
    <row r="257" spans="1:12" ht="21.75" thickBot="1" x14ac:dyDescent="0.3">
      <c r="A257" s="57">
        <v>256</v>
      </c>
      <c r="B257" s="48" t="s">
        <v>149</v>
      </c>
      <c r="C257" s="74"/>
      <c r="D257" s="75" t="s">
        <v>91</v>
      </c>
      <c r="E257" s="75" t="s">
        <v>91</v>
      </c>
      <c r="F257" s="75"/>
      <c r="G257" s="75"/>
      <c r="H257" s="75"/>
      <c r="I257" s="75"/>
      <c r="J257" s="75"/>
      <c r="K257" s="75" t="s">
        <v>91</v>
      </c>
      <c r="L257" s="76" t="s">
        <v>91</v>
      </c>
    </row>
    <row r="258" spans="1:12" ht="21.75" thickBot="1" x14ac:dyDescent="0.3">
      <c r="A258" s="57">
        <v>257</v>
      </c>
      <c r="B258" s="48" t="s">
        <v>150</v>
      </c>
      <c r="C258" s="7">
        <v>0.10714285714285714</v>
      </c>
      <c r="D258" s="8">
        <v>0.17857142857142858</v>
      </c>
      <c r="E258" s="8">
        <v>0.17857142857142858</v>
      </c>
      <c r="F258" s="8">
        <v>0.10714285714285714</v>
      </c>
      <c r="G258" s="8">
        <v>0.32142857142857145</v>
      </c>
      <c r="H258" s="8">
        <v>0.10714285714285714</v>
      </c>
      <c r="I258" s="8">
        <v>0.10714285714285714</v>
      </c>
      <c r="J258" s="8">
        <v>0.14285714285714285</v>
      </c>
      <c r="K258" s="8">
        <v>0.17857142857142858</v>
      </c>
      <c r="L258" s="9">
        <v>0.14285714285714285</v>
      </c>
    </row>
    <row r="259" spans="1:12" ht="21.75" thickBot="1" x14ac:dyDescent="0.3">
      <c r="A259" s="57">
        <v>258</v>
      </c>
      <c r="B259" s="48" t="s">
        <v>150</v>
      </c>
      <c r="C259" s="74"/>
      <c r="D259" s="75"/>
      <c r="E259" s="75"/>
      <c r="F259" s="75"/>
      <c r="G259" s="75" t="s">
        <v>259</v>
      </c>
      <c r="H259" s="75"/>
      <c r="I259" s="75"/>
      <c r="J259" s="75"/>
      <c r="K259" s="75"/>
      <c r="L259" s="76"/>
    </row>
    <row r="260" spans="1:12" ht="21.75" thickBot="1" x14ac:dyDescent="0.3">
      <c r="A260" s="57">
        <v>259</v>
      </c>
      <c r="B260" s="48" t="s">
        <v>151</v>
      </c>
      <c r="C260" s="7">
        <v>0.14285714285714285</v>
      </c>
      <c r="D260" s="8">
        <v>0.10714285714285714</v>
      </c>
      <c r="E260" s="8">
        <v>0.10714285714285714</v>
      </c>
      <c r="F260" s="8">
        <v>0.21428571428571427</v>
      </c>
      <c r="G260" s="8">
        <v>0.25</v>
      </c>
      <c r="H260" s="8">
        <v>0.14285714285714285</v>
      </c>
      <c r="I260" s="8">
        <v>0.17857142857142858</v>
      </c>
      <c r="J260" s="8">
        <v>0.14285714285714285</v>
      </c>
      <c r="K260" s="8">
        <v>0.21428571428571427</v>
      </c>
      <c r="L260" s="9">
        <v>0.10714285714285714</v>
      </c>
    </row>
    <row r="261" spans="1:12" ht="21.75" thickBot="1" x14ac:dyDescent="0.3">
      <c r="A261" s="57">
        <v>260</v>
      </c>
      <c r="B261" s="48" t="s">
        <v>151</v>
      </c>
      <c r="C261" s="74"/>
      <c r="D261" s="75"/>
      <c r="E261" s="75"/>
      <c r="F261" s="75"/>
      <c r="G261" s="75"/>
      <c r="H261" s="75"/>
      <c r="I261" s="75"/>
      <c r="J261" s="75"/>
      <c r="K261" s="75"/>
      <c r="L261" s="76"/>
    </row>
    <row r="262" spans="1:12" ht="21.75" thickBot="1" x14ac:dyDescent="0.3">
      <c r="A262" s="57">
        <v>261</v>
      </c>
      <c r="B262" s="47" t="s">
        <v>152</v>
      </c>
      <c r="C262" s="7">
        <v>0.35714285714285715</v>
      </c>
      <c r="D262" s="8">
        <v>0.21428571428571427</v>
      </c>
      <c r="E262" s="8">
        <v>0.32142857142857145</v>
      </c>
      <c r="F262" s="8">
        <v>0.39285714285714285</v>
      </c>
      <c r="G262" s="8">
        <v>0.2857142857142857</v>
      </c>
      <c r="H262" s="8">
        <v>0.39285714285714285</v>
      </c>
      <c r="I262" s="8">
        <v>0.32142857142857145</v>
      </c>
      <c r="J262" s="8">
        <v>0.5714285714285714</v>
      </c>
      <c r="K262" s="8">
        <v>0.35714285714285715</v>
      </c>
      <c r="L262" s="9">
        <v>0.5</v>
      </c>
    </row>
    <row r="263" spans="1:12" ht="21.75" thickBot="1" x14ac:dyDescent="0.3">
      <c r="A263" s="57">
        <v>262</v>
      </c>
      <c r="B263" s="48" t="s">
        <v>152</v>
      </c>
      <c r="C263" s="74"/>
      <c r="D263" s="75"/>
      <c r="E263" s="75"/>
      <c r="F263" s="75"/>
      <c r="G263" s="75"/>
      <c r="H263" s="75"/>
      <c r="I263" s="75"/>
      <c r="J263" s="75" t="s">
        <v>260</v>
      </c>
      <c r="K263" s="75"/>
      <c r="L263" s="76" t="s">
        <v>23</v>
      </c>
    </row>
    <row r="264" spans="1:12" ht="21.75" thickBot="1" x14ac:dyDescent="0.3">
      <c r="A264" s="57">
        <v>263</v>
      </c>
      <c r="B264" s="48" t="s">
        <v>153</v>
      </c>
      <c r="C264" s="7">
        <v>3.5714285714285712E-2</v>
      </c>
      <c r="D264" s="8">
        <v>0.14285714285714285</v>
      </c>
      <c r="E264" s="8">
        <v>7.1428571428571425E-2</v>
      </c>
      <c r="F264" s="8">
        <v>0.21428571428571427</v>
      </c>
      <c r="G264" s="8">
        <v>0.14285714285714285</v>
      </c>
      <c r="H264" s="8">
        <v>0.14285714285714285</v>
      </c>
      <c r="I264" s="8">
        <v>0.21428571428571427</v>
      </c>
      <c r="J264" s="8">
        <v>0.14285714285714285</v>
      </c>
      <c r="K264" s="8">
        <v>0.14285714285714285</v>
      </c>
      <c r="L264" s="9">
        <v>0.14285714285714285</v>
      </c>
    </row>
    <row r="265" spans="1:12" ht="21.75" thickBot="1" x14ac:dyDescent="0.3">
      <c r="A265" s="57">
        <v>264</v>
      </c>
      <c r="B265" s="48" t="s">
        <v>153</v>
      </c>
      <c r="C265" s="74"/>
      <c r="D265" s="75"/>
      <c r="E265" s="75"/>
      <c r="F265" s="75" t="s">
        <v>22</v>
      </c>
      <c r="G265" s="75"/>
      <c r="H265" s="75"/>
      <c r="I265" s="75" t="s">
        <v>22</v>
      </c>
      <c r="J265" s="75"/>
      <c r="K265" s="75"/>
      <c r="L265" s="76"/>
    </row>
    <row r="266" spans="1:12" ht="21.75" thickBot="1" x14ac:dyDescent="0.3">
      <c r="A266" s="57">
        <v>265</v>
      </c>
      <c r="B266" s="45" t="s">
        <v>154</v>
      </c>
      <c r="C266" s="7">
        <v>0.17857142857142858</v>
      </c>
      <c r="D266" s="8">
        <v>0.25</v>
      </c>
      <c r="E266" s="8">
        <v>0.21428571428571427</v>
      </c>
      <c r="F266" s="8">
        <v>0.17857142857142858</v>
      </c>
      <c r="G266" s="8">
        <v>0.17857142857142858</v>
      </c>
      <c r="H266" s="8">
        <v>7.1428571428571425E-2</v>
      </c>
      <c r="I266" s="8">
        <v>0.2857142857142857</v>
      </c>
      <c r="J266" s="8">
        <v>0.14285714285714285</v>
      </c>
      <c r="K266" s="8">
        <v>0.17857142857142858</v>
      </c>
      <c r="L266" s="9">
        <v>0.25</v>
      </c>
    </row>
    <row r="267" spans="1:12" ht="21.75" thickBot="1" x14ac:dyDescent="0.3">
      <c r="A267" s="57">
        <v>266</v>
      </c>
      <c r="B267" s="46" t="s">
        <v>154</v>
      </c>
      <c r="C267" s="74"/>
      <c r="D267" s="75" t="s">
        <v>42</v>
      </c>
      <c r="E267" s="75"/>
      <c r="F267" s="75"/>
      <c r="G267" s="75"/>
      <c r="H267" s="75"/>
      <c r="I267" s="75" t="s">
        <v>27</v>
      </c>
      <c r="J267" s="75"/>
      <c r="K267" s="75"/>
      <c r="L267" s="76" t="s">
        <v>42</v>
      </c>
    </row>
    <row r="268" spans="1:12" ht="21.75" thickBot="1" x14ac:dyDescent="0.3">
      <c r="A268" s="57">
        <v>267</v>
      </c>
      <c r="B268" s="46" t="s">
        <v>155</v>
      </c>
      <c r="C268" s="7">
        <v>3.5714285714285712E-2</v>
      </c>
      <c r="D268" s="8">
        <v>7.1428571428571425E-2</v>
      </c>
      <c r="E268" s="8">
        <v>0.14285714285714285</v>
      </c>
      <c r="F268" s="8">
        <v>7.1428571428571425E-2</v>
      </c>
      <c r="G268" s="8">
        <v>0.10714285714285714</v>
      </c>
      <c r="H268" s="8">
        <v>0.10714285714285714</v>
      </c>
      <c r="I268" s="8">
        <v>0</v>
      </c>
      <c r="J268" s="8">
        <v>0.14285714285714285</v>
      </c>
      <c r="K268" s="8">
        <v>0</v>
      </c>
      <c r="L268" s="9">
        <v>0.10714285714285714</v>
      </c>
    </row>
    <row r="269" spans="1:12" ht="21.75" thickBot="1" x14ac:dyDescent="0.3">
      <c r="A269" s="57">
        <v>268</v>
      </c>
      <c r="B269" s="46" t="s">
        <v>155</v>
      </c>
      <c r="C269" s="74"/>
      <c r="D269" s="75"/>
      <c r="E269" s="75"/>
      <c r="F269" s="75"/>
      <c r="G269" s="75"/>
      <c r="H269" s="75"/>
      <c r="I269" s="75"/>
      <c r="J269" s="75"/>
      <c r="K269" s="75"/>
      <c r="L269" s="76"/>
    </row>
    <row r="270" spans="1:12" ht="21.75" thickBot="1" x14ac:dyDescent="0.3">
      <c r="A270" s="57">
        <v>269</v>
      </c>
      <c r="B270" s="46" t="s">
        <v>156</v>
      </c>
      <c r="C270" s="7">
        <v>0.17857142857142858</v>
      </c>
      <c r="D270" s="8">
        <v>0.21428571428571427</v>
      </c>
      <c r="E270" s="8">
        <v>0.39285714285714285</v>
      </c>
      <c r="F270" s="8">
        <v>0.14285714285714285</v>
      </c>
      <c r="G270" s="8">
        <v>0.17857142857142858</v>
      </c>
      <c r="H270" s="8">
        <v>0.21428571428571427</v>
      </c>
      <c r="I270" s="8">
        <v>3.5714285714285712E-2</v>
      </c>
      <c r="J270" s="8">
        <v>0.17857142857142858</v>
      </c>
      <c r="K270" s="8">
        <v>0.25</v>
      </c>
      <c r="L270" s="9">
        <v>7.1428571428571425E-2</v>
      </c>
    </row>
    <row r="271" spans="1:12" ht="24.75" thickBot="1" x14ac:dyDescent="0.3">
      <c r="A271" s="57">
        <v>270</v>
      </c>
      <c r="B271" s="46" t="s">
        <v>156</v>
      </c>
      <c r="C271" s="74" t="s">
        <v>91</v>
      </c>
      <c r="D271" s="75" t="s">
        <v>28</v>
      </c>
      <c r="E271" s="75" t="s">
        <v>261</v>
      </c>
      <c r="F271" s="75"/>
      <c r="G271" s="75" t="s">
        <v>91</v>
      </c>
      <c r="H271" s="75" t="s">
        <v>28</v>
      </c>
      <c r="I271" s="75"/>
      <c r="J271" s="75" t="s">
        <v>91</v>
      </c>
      <c r="K271" s="75" t="s">
        <v>262</v>
      </c>
      <c r="L271" s="76"/>
    </row>
    <row r="272" spans="1:12" ht="21.75" thickBot="1" x14ac:dyDescent="0.3">
      <c r="A272" s="57">
        <v>271</v>
      </c>
      <c r="B272" s="46" t="s">
        <v>157</v>
      </c>
      <c r="C272" s="7">
        <v>0.25</v>
      </c>
      <c r="D272" s="8">
        <v>0.25</v>
      </c>
      <c r="E272" s="8">
        <v>0.10714285714285714</v>
      </c>
      <c r="F272" s="8">
        <v>0.21428571428571427</v>
      </c>
      <c r="G272" s="8">
        <v>0.21428571428571427</v>
      </c>
      <c r="H272" s="8">
        <v>0.25</v>
      </c>
      <c r="I272" s="8">
        <v>0.25</v>
      </c>
      <c r="J272" s="8">
        <v>0.2857142857142857</v>
      </c>
      <c r="K272" s="8">
        <v>0.10714285714285714</v>
      </c>
      <c r="L272" s="9">
        <v>0.14285714285714285</v>
      </c>
    </row>
    <row r="273" spans="1:12" ht="21.75" thickBot="1" x14ac:dyDescent="0.3">
      <c r="A273" s="57">
        <v>272</v>
      </c>
      <c r="B273" s="46" t="s">
        <v>157</v>
      </c>
      <c r="C273" s="74"/>
      <c r="D273" s="75"/>
      <c r="E273" s="75"/>
      <c r="F273" s="75"/>
      <c r="G273" s="75"/>
      <c r="H273" s="75"/>
      <c r="I273" s="75"/>
      <c r="J273" s="75" t="s">
        <v>213</v>
      </c>
      <c r="K273" s="75"/>
      <c r="L273" s="76"/>
    </row>
    <row r="274" spans="1:12" ht="21.75" thickBot="1" x14ac:dyDescent="0.3">
      <c r="A274" s="57">
        <v>273</v>
      </c>
      <c r="B274" s="47" t="s">
        <v>158</v>
      </c>
      <c r="C274" s="7">
        <v>0.14285714285714285</v>
      </c>
      <c r="D274" s="8">
        <v>0.21428571428571427</v>
      </c>
      <c r="E274" s="8">
        <v>0.10714285714285714</v>
      </c>
      <c r="F274" s="8">
        <v>0.25</v>
      </c>
      <c r="G274" s="8">
        <v>0.10714285714285714</v>
      </c>
      <c r="H274" s="8">
        <v>0.10714285714285714</v>
      </c>
      <c r="I274" s="8">
        <v>0.10714285714285714</v>
      </c>
      <c r="J274" s="8">
        <v>0.10714285714285714</v>
      </c>
      <c r="K274" s="8">
        <v>0.14285714285714285</v>
      </c>
      <c r="L274" s="9">
        <v>0.17857142857142858</v>
      </c>
    </row>
    <row r="275" spans="1:12" ht="21.75" thickBot="1" x14ac:dyDescent="0.3">
      <c r="A275" s="57">
        <v>274</v>
      </c>
      <c r="B275" s="48" t="s">
        <v>158</v>
      </c>
      <c r="C275" s="74"/>
      <c r="D275" s="75"/>
      <c r="E275" s="75"/>
      <c r="F275" s="75"/>
      <c r="G275" s="75"/>
      <c r="H275" s="75"/>
      <c r="I275" s="75"/>
      <c r="J275" s="75"/>
      <c r="K275" s="75"/>
      <c r="L275" s="76"/>
    </row>
    <row r="276" spans="1:12" ht="21.75" thickBot="1" x14ac:dyDescent="0.3">
      <c r="A276" s="57">
        <v>275</v>
      </c>
      <c r="B276" s="48" t="s">
        <v>159</v>
      </c>
      <c r="C276" s="7">
        <v>0.25</v>
      </c>
      <c r="D276" s="8">
        <v>0.10714285714285714</v>
      </c>
      <c r="E276" s="8">
        <v>0.21428571428571427</v>
      </c>
      <c r="F276" s="8">
        <v>0.10714285714285714</v>
      </c>
      <c r="G276" s="8">
        <v>0.21428571428571427</v>
      </c>
      <c r="H276" s="8">
        <v>0.14285714285714285</v>
      </c>
      <c r="I276" s="8">
        <v>0.21428571428571427</v>
      </c>
      <c r="J276" s="8">
        <v>0.10714285714285714</v>
      </c>
      <c r="K276" s="8">
        <v>0.14285714285714285</v>
      </c>
      <c r="L276" s="9">
        <v>0.17857142857142858</v>
      </c>
    </row>
    <row r="277" spans="1:12" ht="21.75" thickBot="1" x14ac:dyDescent="0.3">
      <c r="A277" s="57">
        <v>276</v>
      </c>
      <c r="B277" s="48" t="s">
        <v>159</v>
      </c>
      <c r="C277" s="74"/>
      <c r="D277" s="75"/>
      <c r="E277" s="75"/>
      <c r="F277" s="75"/>
      <c r="G277" s="75"/>
      <c r="H277" s="75"/>
      <c r="I277" s="75"/>
      <c r="J277" s="75"/>
      <c r="K277" s="75"/>
      <c r="L277" s="76"/>
    </row>
    <row r="278" spans="1:12" ht="21.75" thickBot="1" x14ac:dyDescent="0.3">
      <c r="A278" s="57">
        <v>277</v>
      </c>
      <c r="B278" s="48" t="s">
        <v>160</v>
      </c>
      <c r="C278" s="7">
        <v>0.2857142857142857</v>
      </c>
      <c r="D278" s="8">
        <v>0.42857142857142855</v>
      </c>
      <c r="E278" s="8">
        <v>0.35714285714285715</v>
      </c>
      <c r="F278" s="8">
        <v>0.2857142857142857</v>
      </c>
      <c r="G278" s="8">
        <v>0.35714285714285715</v>
      </c>
      <c r="H278" s="8">
        <v>0.35714285714285715</v>
      </c>
      <c r="I278" s="8">
        <v>0.32142857142857145</v>
      </c>
      <c r="J278" s="8">
        <v>0.4642857142857143</v>
      </c>
      <c r="K278" s="8">
        <v>0.32142857142857145</v>
      </c>
      <c r="L278" s="9">
        <v>0.35714285714285715</v>
      </c>
    </row>
    <row r="279" spans="1:12" ht="21.75" thickBot="1" x14ac:dyDescent="0.3">
      <c r="A279" s="57">
        <v>278</v>
      </c>
      <c r="B279" s="48" t="s">
        <v>160</v>
      </c>
      <c r="C279" s="74"/>
      <c r="D279" s="75"/>
      <c r="E279" s="75"/>
      <c r="F279" s="75"/>
      <c r="G279" s="75"/>
      <c r="H279" s="75"/>
      <c r="I279" s="75"/>
      <c r="J279" s="75"/>
      <c r="K279" s="75"/>
      <c r="L279" s="76"/>
    </row>
    <row r="280" spans="1:12" ht="21.75" thickBot="1" x14ac:dyDescent="0.3">
      <c r="A280" s="57">
        <v>279</v>
      </c>
      <c r="B280" s="48" t="s">
        <v>161</v>
      </c>
      <c r="C280" s="7">
        <v>0.2857142857142857</v>
      </c>
      <c r="D280" s="8">
        <v>0.2857142857142857</v>
      </c>
      <c r="E280" s="8">
        <v>0.17857142857142858</v>
      </c>
      <c r="F280" s="8">
        <v>0.2857142857142857</v>
      </c>
      <c r="G280" s="8">
        <v>0.14285714285714285</v>
      </c>
      <c r="H280" s="8">
        <v>0.21428571428571427</v>
      </c>
      <c r="I280" s="8">
        <v>0.21428571428571427</v>
      </c>
      <c r="J280" s="8">
        <v>0.21428571428571427</v>
      </c>
      <c r="K280" s="8">
        <v>0.17857142857142858</v>
      </c>
      <c r="L280" s="9">
        <v>0.21428571428571427</v>
      </c>
    </row>
    <row r="281" spans="1:12" ht="21.75" thickBot="1" x14ac:dyDescent="0.3">
      <c r="A281" s="57">
        <v>280</v>
      </c>
      <c r="B281" s="48" t="s">
        <v>161</v>
      </c>
      <c r="C281" s="74"/>
      <c r="D281" s="75"/>
      <c r="E281" s="75"/>
      <c r="F281" s="75"/>
      <c r="G281" s="75"/>
      <c r="H281" s="75"/>
      <c r="I281" s="75"/>
      <c r="J281" s="75"/>
      <c r="K281" s="75"/>
      <c r="L281" s="76"/>
    </row>
    <row r="282" spans="1:12" ht="21.75" thickBot="1" x14ac:dyDescent="0.3">
      <c r="A282" s="57">
        <v>281</v>
      </c>
      <c r="B282" s="47" t="s">
        <v>162</v>
      </c>
      <c r="C282" s="7">
        <v>0.14285714285714285</v>
      </c>
      <c r="D282" s="8">
        <v>0.25</v>
      </c>
      <c r="E282" s="8">
        <v>0.14285714285714285</v>
      </c>
      <c r="F282" s="8">
        <v>0.17857142857142858</v>
      </c>
      <c r="G282" s="8">
        <v>0.17857142857142858</v>
      </c>
      <c r="H282" s="8">
        <v>0.21428571428571427</v>
      </c>
      <c r="I282" s="8">
        <v>0.35714285714285715</v>
      </c>
      <c r="J282" s="8">
        <v>0.25</v>
      </c>
      <c r="K282" s="8">
        <v>0.14285714285714285</v>
      </c>
      <c r="L282" s="9">
        <v>0.42857142857142855</v>
      </c>
    </row>
    <row r="283" spans="1:12" ht="21.75" thickBot="1" x14ac:dyDescent="0.3">
      <c r="A283" s="57">
        <v>282</v>
      </c>
      <c r="B283" s="48" t="s">
        <v>162</v>
      </c>
      <c r="C283" s="74"/>
      <c r="D283" s="75"/>
      <c r="E283" s="75"/>
      <c r="F283" s="75"/>
      <c r="G283" s="75"/>
      <c r="H283" s="75"/>
      <c r="I283" s="75" t="s">
        <v>263</v>
      </c>
      <c r="J283" s="75"/>
      <c r="K283" s="75"/>
      <c r="L283" s="76" t="s">
        <v>264</v>
      </c>
    </row>
    <row r="284" spans="1:12" ht="21.75" thickBot="1" x14ac:dyDescent="0.3">
      <c r="A284" s="57">
        <v>283</v>
      </c>
      <c r="B284" s="48" t="s">
        <v>163</v>
      </c>
      <c r="C284" s="7">
        <v>0.4642857142857143</v>
      </c>
      <c r="D284" s="8">
        <v>0.32142857142857145</v>
      </c>
      <c r="E284" s="8">
        <v>0.21428571428571427</v>
      </c>
      <c r="F284" s="8">
        <v>0.39285714285714285</v>
      </c>
      <c r="G284" s="8">
        <v>0.39285714285714285</v>
      </c>
      <c r="H284" s="8">
        <v>0.42857142857142855</v>
      </c>
      <c r="I284" s="8">
        <v>0.2857142857142857</v>
      </c>
      <c r="J284" s="8">
        <v>0.4642857142857143</v>
      </c>
      <c r="K284" s="8">
        <v>0.4642857142857143</v>
      </c>
      <c r="L284" s="9">
        <v>0.5357142857142857</v>
      </c>
    </row>
    <row r="285" spans="1:12" ht="21.75" thickBot="1" x14ac:dyDescent="0.3">
      <c r="A285" s="57">
        <v>284</v>
      </c>
      <c r="B285" s="48" t="s">
        <v>163</v>
      </c>
      <c r="C285" s="74" t="s">
        <v>24</v>
      </c>
      <c r="D285" s="75"/>
      <c r="E285" s="75"/>
      <c r="F285" s="75"/>
      <c r="G285" s="75"/>
      <c r="H285" s="75" t="s">
        <v>40</v>
      </c>
      <c r="I285" s="75"/>
      <c r="J285" s="75" t="s">
        <v>24</v>
      </c>
      <c r="K285" s="75" t="s">
        <v>24</v>
      </c>
      <c r="L285" s="76" t="s">
        <v>265</v>
      </c>
    </row>
    <row r="286" spans="1:12" ht="21.75" thickBot="1" x14ac:dyDescent="0.3">
      <c r="A286" s="57">
        <v>285</v>
      </c>
      <c r="B286" s="48" t="s">
        <v>164</v>
      </c>
      <c r="C286" s="7">
        <v>0.2857142857142857</v>
      </c>
      <c r="D286" s="8">
        <v>0.35714285714285715</v>
      </c>
      <c r="E286" s="8">
        <v>0.4642857142857143</v>
      </c>
      <c r="F286" s="8">
        <v>0.39285714285714285</v>
      </c>
      <c r="G286" s="8">
        <v>0.32142857142857145</v>
      </c>
      <c r="H286" s="8">
        <v>0.21428571428571427</v>
      </c>
      <c r="I286" s="8">
        <v>0.4642857142857143</v>
      </c>
      <c r="J286" s="8">
        <v>0.35714285714285715</v>
      </c>
      <c r="K286" s="8">
        <v>0.32142857142857145</v>
      </c>
      <c r="L286" s="9">
        <v>0.42857142857142855</v>
      </c>
    </row>
    <row r="287" spans="1:12" ht="21.75" thickBot="1" x14ac:dyDescent="0.3">
      <c r="A287" s="57">
        <v>286</v>
      </c>
      <c r="B287" s="48" t="s">
        <v>164</v>
      </c>
      <c r="C287" s="74"/>
      <c r="D287" s="75"/>
      <c r="E287" s="75" t="s">
        <v>27</v>
      </c>
      <c r="F287" s="75"/>
      <c r="G287" s="75"/>
      <c r="H287" s="75"/>
      <c r="I287" s="75" t="s">
        <v>27</v>
      </c>
      <c r="J287" s="75"/>
      <c r="K287" s="75"/>
      <c r="L287" s="76" t="s">
        <v>42</v>
      </c>
    </row>
    <row r="288" spans="1:12" ht="21.75" thickBot="1" x14ac:dyDescent="0.3">
      <c r="A288" s="57">
        <v>287</v>
      </c>
      <c r="B288" s="48" t="s">
        <v>165</v>
      </c>
      <c r="C288" s="7">
        <v>0.17857142857142858</v>
      </c>
      <c r="D288" s="8">
        <v>0.32142857142857145</v>
      </c>
      <c r="E288" s="8">
        <v>0.2857142857142857</v>
      </c>
      <c r="F288" s="8">
        <v>0.14285714285714285</v>
      </c>
      <c r="G288" s="8">
        <v>0.25</v>
      </c>
      <c r="H288" s="8">
        <v>0.17857142857142858</v>
      </c>
      <c r="I288" s="8">
        <v>0.25</v>
      </c>
      <c r="J288" s="8">
        <v>0.21428571428571427</v>
      </c>
      <c r="K288" s="8">
        <v>0.10714285714285714</v>
      </c>
      <c r="L288" s="9">
        <v>0.2857142857142857</v>
      </c>
    </row>
    <row r="289" spans="1:12" ht="21.75" thickBot="1" x14ac:dyDescent="0.3">
      <c r="A289" s="57">
        <v>288</v>
      </c>
      <c r="B289" s="48" t="s">
        <v>165</v>
      </c>
      <c r="C289" s="74"/>
      <c r="D289" s="75" t="s">
        <v>71</v>
      </c>
      <c r="E289" s="75" t="s">
        <v>71</v>
      </c>
      <c r="F289" s="75"/>
      <c r="G289" s="75"/>
      <c r="H289" s="75"/>
      <c r="I289" s="75"/>
      <c r="J289" s="75"/>
      <c r="K289" s="75"/>
      <c r="L289" s="76" t="s">
        <v>71</v>
      </c>
    </row>
    <row r="290" spans="1:12" ht="21.75" thickBot="1" x14ac:dyDescent="0.3">
      <c r="A290" s="57">
        <v>289</v>
      </c>
      <c r="B290" s="47" t="s">
        <v>166</v>
      </c>
      <c r="C290" s="7">
        <v>0</v>
      </c>
      <c r="D290" s="8">
        <v>0</v>
      </c>
      <c r="E290" s="8">
        <v>0</v>
      </c>
      <c r="F290" s="8">
        <v>0</v>
      </c>
      <c r="G290" s="8">
        <v>0</v>
      </c>
      <c r="H290" s="8">
        <v>0</v>
      </c>
      <c r="I290" s="8">
        <v>0</v>
      </c>
      <c r="J290" s="8">
        <v>0</v>
      </c>
      <c r="K290" s="8">
        <v>0</v>
      </c>
      <c r="L290" s="9">
        <v>0</v>
      </c>
    </row>
    <row r="291" spans="1:12" ht="21.75" thickBot="1" x14ac:dyDescent="0.3">
      <c r="A291" s="57">
        <v>290</v>
      </c>
      <c r="B291" s="48" t="s">
        <v>166</v>
      </c>
      <c r="C291" s="74"/>
      <c r="D291" s="75"/>
      <c r="E291" s="75"/>
      <c r="F291" s="75"/>
      <c r="G291" s="75"/>
      <c r="H291" s="75"/>
      <c r="I291" s="75"/>
      <c r="J291" s="75"/>
      <c r="K291" s="75"/>
      <c r="L291" s="76"/>
    </row>
    <row r="292" spans="1:12" ht="21.75" thickBot="1" x14ac:dyDescent="0.3">
      <c r="A292" s="57">
        <v>291</v>
      </c>
      <c r="B292" s="48" t="s">
        <v>167</v>
      </c>
      <c r="C292" s="22"/>
      <c r="D292" s="22"/>
      <c r="E292" s="22"/>
      <c r="F292" s="22"/>
      <c r="G292" s="22"/>
      <c r="H292" s="22"/>
      <c r="I292" s="22"/>
      <c r="J292" s="22"/>
      <c r="K292" s="22"/>
      <c r="L292" s="22"/>
    </row>
    <row r="293" spans="1:12" ht="21.75" thickBot="1" x14ac:dyDescent="0.3">
      <c r="A293" s="57">
        <v>292</v>
      </c>
      <c r="B293" s="48" t="s">
        <v>167</v>
      </c>
      <c r="C293" s="22"/>
      <c r="D293" s="22"/>
      <c r="E293" s="22"/>
      <c r="F293" s="22"/>
      <c r="G293" s="22"/>
      <c r="H293" s="22"/>
      <c r="I293" s="22"/>
      <c r="J293" s="22"/>
      <c r="K293" s="22"/>
      <c r="L293" s="22"/>
    </row>
    <row r="294" spans="1:12" ht="21" x14ac:dyDescent="0.25">
      <c r="A294" s="57">
        <v>293</v>
      </c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</row>
    <row r="295" spans="1:12" ht="21.75" thickBot="1" x14ac:dyDescent="0.3">
      <c r="A295" s="57">
        <v>294</v>
      </c>
      <c r="B295" s="37" t="s">
        <v>168</v>
      </c>
      <c r="C295" s="38"/>
      <c r="D295" s="38"/>
      <c r="E295" s="38"/>
      <c r="F295" s="38"/>
      <c r="G295" s="38"/>
      <c r="H295" s="38"/>
      <c r="I295" s="38"/>
      <c r="J295" s="38"/>
      <c r="K295" s="38"/>
      <c r="L295" s="38"/>
    </row>
    <row r="296" spans="1:12" ht="22.5" thickTop="1" thickBot="1" x14ac:dyDescent="0.3">
      <c r="A296" s="57">
        <v>295</v>
      </c>
      <c r="B296" s="51" t="s">
        <v>169</v>
      </c>
      <c r="C296" s="7">
        <v>0.25</v>
      </c>
      <c r="D296" s="8">
        <v>0.25</v>
      </c>
      <c r="E296" s="8">
        <v>0.32142857142857145</v>
      </c>
      <c r="F296" s="8">
        <v>0.2857142857142857</v>
      </c>
      <c r="G296" s="8">
        <v>0.25</v>
      </c>
      <c r="H296" s="8">
        <v>0.35714285714285715</v>
      </c>
      <c r="I296" s="8">
        <v>0.2857142857142857</v>
      </c>
      <c r="J296" s="8">
        <v>0.17857142857142858</v>
      </c>
      <c r="K296" s="8">
        <v>0.25</v>
      </c>
      <c r="L296" s="9">
        <v>0.21428571428571427</v>
      </c>
    </row>
    <row r="297" spans="1:12" ht="21.75" thickBot="1" x14ac:dyDescent="0.3">
      <c r="A297" s="57">
        <v>296</v>
      </c>
      <c r="B297" s="52" t="s">
        <v>169</v>
      </c>
      <c r="C297" s="74"/>
      <c r="D297" s="75"/>
      <c r="E297" s="75"/>
      <c r="F297" s="75"/>
      <c r="G297" s="75"/>
      <c r="H297" s="75"/>
      <c r="I297" s="75"/>
      <c r="J297" s="75"/>
      <c r="K297" s="75"/>
      <c r="L297" s="76"/>
    </row>
    <row r="298" spans="1:12" ht="21.75" thickBot="1" x14ac:dyDescent="0.3">
      <c r="A298" s="57">
        <v>297</v>
      </c>
      <c r="B298" s="52" t="s">
        <v>170</v>
      </c>
      <c r="C298" s="7">
        <v>0.5</v>
      </c>
      <c r="D298" s="8">
        <v>0.10714285714285714</v>
      </c>
      <c r="E298" s="8">
        <v>0.2857142857142857</v>
      </c>
      <c r="F298" s="8">
        <v>0.35714285714285715</v>
      </c>
      <c r="G298" s="8">
        <v>0.25</v>
      </c>
      <c r="H298" s="8">
        <v>0.17857142857142858</v>
      </c>
      <c r="I298" s="8">
        <v>0.2857142857142857</v>
      </c>
      <c r="J298" s="8">
        <v>0.35714285714285715</v>
      </c>
      <c r="K298" s="8">
        <v>0.39285714285714285</v>
      </c>
      <c r="L298" s="9">
        <v>0.39285714285714285</v>
      </c>
    </row>
    <row r="299" spans="1:12" ht="21.75" thickBot="1" x14ac:dyDescent="0.3">
      <c r="A299" s="57">
        <v>298</v>
      </c>
      <c r="B299" s="53" t="s">
        <v>170</v>
      </c>
      <c r="C299" s="74" t="s">
        <v>266</v>
      </c>
      <c r="D299" s="75"/>
      <c r="E299" s="75" t="s">
        <v>33</v>
      </c>
      <c r="F299" s="75" t="s">
        <v>23</v>
      </c>
      <c r="G299" s="75"/>
      <c r="H299" s="75"/>
      <c r="I299" s="75" t="s">
        <v>33</v>
      </c>
      <c r="J299" s="75" t="s">
        <v>23</v>
      </c>
      <c r="K299" s="75" t="s">
        <v>214</v>
      </c>
      <c r="L299" s="76" t="s">
        <v>214</v>
      </c>
    </row>
    <row r="300" spans="1:12" ht="22.5" thickTop="1" thickBot="1" x14ac:dyDescent="0.3">
      <c r="A300" s="57">
        <v>299</v>
      </c>
      <c r="B300" s="54" t="s">
        <v>171</v>
      </c>
      <c r="C300" s="7">
        <v>7.1428571428571425E-2</v>
      </c>
      <c r="D300" s="8">
        <v>0.25</v>
      </c>
      <c r="E300" s="8">
        <v>0.10714285714285714</v>
      </c>
      <c r="F300" s="8">
        <v>7.1428571428571425E-2</v>
      </c>
      <c r="G300" s="8">
        <v>0.17857142857142858</v>
      </c>
      <c r="H300" s="8">
        <v>7.1428571428571425E-2</v>
      </c>
      <c r="I300" s="8">
        <v>0.10714285714285714</v>
      </c>
      <c r="J300" s="8">
        <v>0.14285714285714285</v>
      </c>
      <c r="K300" s="8">
        <v>0.10714285714285714</v>
      </c>
      <c r="L300" s="9">
        <v>0.25</v>
      </c>
    </row>
    <row r="301" spans="1:12" ht="21.75" thickBot="1" x14ac:dyDescent="0.3">
      <c r="A301" s="57">
        <v>300</v>
      </c>
      <c r="B301" s="55" t="s">
        <v>171</v>
      </c>
      <c r="C301" s="74"/>
      <c r="D301" s="75" t="s">
        <v>267</v>
      </c>
      <c r="E301" s="75"/>
      <c r="F301" s="75"/>
      <c r="G301" s="75"/>
      <c r="H301" s="75"/>
      <c r="I301" s="75"/>
      <c r="J301" s="75"/>
      <c r="K301" s="75"/>
      <c r="L301" s="76" t="s">
        <v>267</v>
      </c>
    </row>
    <row r="302" spans="1:12" ht="21.75" thickBot="1" x14ac:dyDescent="0.3">
      <c r="A302" s="57">
        <v>301</v>
      </c>
      <c r="B302" s="55" t="s">
        <v>173</v>
      </c>
      <c r="C302" s="7">
        <v>3.5714285714285712E-2</v>
      </c>
      <c r="D302" s="8">
        <v>7.1428571428571425E-2</v>
      </c>
      <c r="E302" s="8">
        <v>0.10714285714285714</v>
      </c>
      <c r="F302" s="8">
        <v>3.5714285714285712E-2</v>
      </c>
      <c r="G302" s="8">
        <v>0.14285714285714285</v>
      </c>
      <c r="H302" s="8">
        <v>0.17857142857142858</v>
      </c>
      <c r="I302" s="8">
        <v>7.1428571428571425E-2</v>
      </c>
      <c r="J302" s="8">
        <v>0.10714285714285714</v>
      </c>
      <c r="K302" s="8">
        <v>7.1428571428571425E-2</v>
      </c>
      <c r="L302" s="9">
        <v>0.10714285714285714</v>
      </c>
    </row>
    <row r="303" spans="1:12" ht="21.75" thickBot="1" x14ac:dyDescent="0.3">
      <c r="A303" s="57">
        <v>302</v>
      </c>
      <c r="B303" s="56" t="s">
        <v>173</v>
      </c>
      <c r="C303" s="74"/>
      <c r="D303" s="75"/>
      <c r="E303" s="75"/>
      <c r="F303" s="75"/>
      <c r="G303" s="75"/>
      <c r="H303" s="75" t="s">
        <v>257</v>
      </c>
      <c r="I303" s="75"/>
      <c r="J303" s="75"/>
      <c r="K303" s="75"/>
      <c r="L303" s="76"/>
    </row>
    <row r="304" spans="1:12" ht="22.5" thickTop="1" thickBot="1" x14ac:dyDescent="0.3">
      <c r="A304" s="57">
        <v>303</v>
      </c>
      <c r="B304" s="51" t="s">
        <v>174</v>
      </c>
      <c r="C304" s="7">
        <v>3.5714285714285712E-2</v>
      </c>
      <c r="D304" s="8">
        <v>0.10714285714285714</v>
      </c>
      <c r="E304" s="8">
        <v>0.10714285714285714</v>
      </c>
      <c r="F304" s="8">
        <v>0.14285714285714285</v>
      </c>
      <c r="G304" s="8">
        <v>3.5714285714285712E-2</v>
      </c>
      <c r="H304" s="8">
        <v>7.1428571428571425E-2</v>
      </c>
      <c r="I304" s="8">
        <v>7.1428571428571425E-2</v>
      </c>
      <c r="J304" s="8">
        <v>0.10714285714285714</v>
      </c>
      <c r="K304" s="8">
        <v>3.5714285714285712E-2</v>
      </c>
      <c r="L304" s="9">
        <v>3.5714285714285712E-2</v>
      </c>
    </row>
    <row r="305" spans="1:12" ht="21.75" thickBot="1" x14ac:dyDescent="0.3">
      <c r="A305" s="57">
        <v>304</v>
      </c>
      <c r="B305" s="52" t="s">
        <v>174</v>
      </c>
      <c r="C305" s="74"/>
      <c r="D305" s="75"/>
      <c r="E305" s="75"/>
      <c r="F305" s="75"/>
      <c r="G305" s="75"/>
      <c r="H305" s="75"/>
      <c r="I305" s="75"/>
      <c r="J305" s="75"/>
      <c r="K305" s="75"/>
      <c r="L305" s="76"/>
    </row>
    <row r="306" spans="1:12" ht="21.75" thickBot="1" x14ac:dyDescent="0.3">
      <c r="A306" s="57">
        <v>305</v>
      </c>
      <c r="B306" s="52" t="s">
        <v>175</v>
      </c>
      <c r="C306" s="7">
        <v>7.1428571428571425E-2</v>
      </c>
      <c r="D306" s="8">
        <v>0.10714285714285714</v>
      </c>
      <c r="E306" s="8">
        <v>3.5714285714285712E-2</v>
      </c>
      <c r="F306" s="8">
        <v>0</v>
      </c>
      <c r="G306" s="8">
        <v>7.1428571428571425E-2</v>
      </c>
      <c r="H306" s="8">
        <v>3.5714285714285712E-2</v>
      </c>
      <c r="I306" s="8">
        <v>0.10714285714285714</v>
      </c>
      <c r="J306" s="8">
        <v>7.1428571428571425E-2</v>
      </c>
      <c r="K306" s="8">
        <v>0.10714285714285714</v>
      </c>
      <c r="L306" s="9">
        <v>0</v>
      </c>
    </row>
    <row r="307" spans="1:12" ht="21.75" thickBot="1" x14ac:dyDescent="0.3">
      <c r="A307" s="57">
        <v>306</v>
      </c>
      <c r="B307" s="53" t="s">
        <v>175</v>
      </c>
      <c r="C307" s="74"/>
      <c r="D307" s="75"/>
      <c r="E307" s="75"/>
      <c r="F307" s="75"/>
      <c r="G307" s="75"/>
      <c r="H307" s="75"/>
      <c r="I307" s="75"/>
      <c r="J307" s="75"/>
      <c r="K307" s="75"/>
      <c r="L307" s="76"/>
    </row>
    <row r="308" spans="1:12" ht="22.5" thickTop="1" thickBot="1" x14ac:dyDescent="0.3">
      <c r="A308" s="57">
        <v>307</v>
      </c>
      <c r="B308" s="54" t="s">
        <v>176</v>
      </c>
      <c r="C308" s="7">
        <v>0</v>
      </c>
      <c r="D308" s="8">
        <v>7.1428571428571425E-2</v>
      </c>
      <c r="E308" s="8">
        <v>3.5714285714285712E-2</v>
      </c>
      <c r="F308" s="8">
        <v>0.10714285714285714</v>
      </c>
      <c r="G308" s="8">
        <v>3.5714285714285712E-2</v>
      </c>
      <c r="H308" s="8">
        <v>0.10714285714285714</v>
      </c>
      <c r="I308" s="8">
        <v>3.5714285714285712E-2</v>
      </c>
      <c r="J308" s="8">
        <v>3.5714285714285712E-2</v>
      </c>
      <c r="K308" s="8">
        <v>3.5714285714285712E-2</v>
      </c>
      <c r="L308" s="9">
        <v>0</v>
      </c>
    </row>
    <row r="309" spans="1:12" ht="21.75" thickBot="1" x14ac:dyDescent="0.3">
      <c r="A309" s="57">
        <v>308</v>
      </c>
      <c r="B309" s="55" t="s">
        <v>176</v>
      </c>
      <c r="C309" s="74"/>
      <c r="D309" s="75"/>
      <c r="E309" s="75"/>
      <c r="F309" s="75"/>
      <c r="G309" s="75"/>
      <c r="H309" s="75"/>
      <c r="I309" s="75"/>
      <c r="J309" s="75"/>
      <c r="K309" s="75"/>
      <c r="L309" s="76"/>
    </row>
    <row r="310" spans="1:12" ht="21.75" thickBot="1" x14ac:dyDescent="0.3">
      <c r="A310" s="57">
        <v>309</v>
      </c>
      <c r="B310" s="55" t="s">
        <v>177</v>
      </c>
      <c r="C310" s="10">
        <v>3.5714285714285712E-2</v>
      </c>
      <c r="D310" s="11">
        <v>3.5714285714285712E-2</v>
      </c>
      <c r="E310" s="11">
        <v>0</v>
      </c>
      <c r="F310" s="11">
        <v>0</v>
      </c>
      <c r="G310" s="11">
        <v>3.5714285714285712E-2</v>
      </c>
      <c r="H310" s="11">
        <v>0</v>
      </c>
      <c r="I310" s="11">
        <v>3.5714285714285712E-2</v>
      </c>
      <c r="J310" s="11">
        <v>0</v>
      </c>
      <c r="K310" s="11">
        <v>0</v>
      </c>
      <c r="L310" s="12">
        <v>0</v>
      </c>
    </row>
    <row r="311" spans="1:12" ht="21.75" thickBot="1" x14ac:dyDescent="0.3">
      <c r="A311" s="57">
        <v>310</v>
      </c>
      <c r="B311" s="56" t="s">
        <v>177</v>
      </c>
      <c r="C311" s="77"/>
      <c r="D311" s="78"/>
      <c r="E311" s="78"/>
      <c r="F311" s="78"/>
      <c r="G311" s="78"/>
      <c r="H311" s="78"/>
      <c r="I311" s="78"/>
      <c r="J311" s="78"/>
      <c r="K311" s="78"/>
      <c r="L311" s="79"/>
    </row>
    <row r="312" spans="1:12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6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9" sqref="B9"/>
    </sheetView>
  </sheetViews>
  <sheetFormatPr defaultRowHeight="15" x14ac:dyDescent="0.25"/>
  <cols>
    <col min="1" max="1" width="24.85546875" style="14" customWidth="1"/>
    <col min="2" max="2" width="31.28515625" bestFit="1" customWidth="1"/>
    <col min="3" max="3" width="20.85546875" bestFit="1" customWidth="1"/>
    <col min="4" max="13" width="9" bestFit="1" customWidth="1"/>
  </cols>
  <sheetData>
    <row r="1" spans="1:14" ht="15.75" thickTop="1" x14ac:dyDescent="0.25">
      <c r="A1" s="111" t="s">
        <v>178</v>
      </c>
      <c r="B1" s="112"/>
      <c r="C1" s="113"/>
      <c r="D1" s="118" t="s">
        <v>0</v>
      </c>
      <c r="E1" s="119"/>
      <c r="F1" s="119"/>
      <c r="G1" s="119"/>
      <c r="H1" s="119"/>
      <c r="I1" s="119"/>
      <c r="J1" s="119"/>
      <c r="K1" s="119"/>
      <c r="L1" s="119"/>
      <c r="M1" s="120"/>
    </row>
    <row r="2" spans="1:14" ht="24.75" x14ac:dyDescent="0.25">
      <c r="A2" s="111"/>
      <c r="B2" s="114"/>
      <c r="C2" s="115"/>
      <c r="D2" s="1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3" t="s">
        <v>10</v>
      </c>
    </row>
    <row r="3" spans="1:14" ht="25.5" thickBot="1" x14ac:dyDescent="0.3">
      <c r="A3" s="111"/>
      <c r="B3" s="116"/>
      <c r="C3" s="117"/>
      <c r="D3" s="4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6" t="s">
        <v>11</v>
      </c>
    </row>
    <row r="4" spans="1:14" ht="36.75" thickTop="1" x14ac:dyDescent="0.25">
      <c r="A4" s="14">
        <v>13</v>
      </c>
      <c r="C4" s="80" t="s">
        <v>268</v>
      </c>
      <c r="D4" s="81">
        <v>4.8928571428571415</v>
      </c>
      <c r="E4" s="82">
        <v>4.7857142857142838</v>
      </c>
      <c r="F4" s="82">
        <v>5.0714285714285721</v>
      </c>
      <c r="G4" s="82">
        <v>4.8214285714285712</v>
      </c>
      <c r="H4" s="82">
        <v>4.9642857142857144</v>
      </c>
      <c r="I4" s="82">
        <v>4.6785714285714279</v>
      </c>
      <c r="J4" s="82">
        <v>5.1785714285714279</v>
      </c>
      <c r="K4" s="82">
        <v>4.9285714285714288</v>
      </c>
      <c r="L4" s="82">
        <v>5.2142857142857135</v>
      </c>
      <c r="M4" s="83">
        <v>5.8571428571428559</v>
      </c>
      <c r="N4">
        <f>A4+1</f>
        <v>14</v>
      </c>
    </row>
    <row r="5" spans="1:14" ht="24" x14ac:dyDescent="0.25">
      <c r="A5" s="14">
        <v>21</v>
      </c>
      <c r="C5" s="84" t="s">
        <v>269</v>
      </c>
      <c r="D5" s="85">
        <v>4</v>
      </c>
      <c r="E5" s="86">
        <v>4.25</v>
      </c>
      <c r="F5" s="86">
        <v>4.1785714285714288</v>
      </c>
      <c r="G5" s="86">
        <v>4.2142857142857144</v>
      </c>
      <c r="H5" s="86">
        <v>4.1428571428571423</v>
      </c>
      <c r="I5" s="86">
        <v>4.0357142857142856</v>
      </c>
      <c r="J5" s="86">
        <v>4.2142857142857135</v>
      </c>
      <c r="K5" s="86">
        <v>3.9642857142857144</v>
      </c>
      <c r="L5" s="86">
        <v>4.2499999999999991</v>
      </c>
      <c r="M5" s="87">
        <v>4.6071428571428577</v>
      </c>
      <c r="N5" s="73">
        <f t="shared" ref="N5:N15" si="0">A5+1</f>
        <v>22</v>
      </c>
    </row>
    <row r="6" spans="1:14" ht="36" x14ac:dyDescent="0.25">
      <c r="A6" s="14">
        <v>27</v>
      </c>
      <c r="C6" s="84" t="s">
        <v>270</v>
      </c>
      <c r="D6" s="85">
        <v>5.0714285714285721</v>
      </c>
      <c r="E6" s="86">
        <v>5.8571428571428577</v>
      </c>
      <c r="F6" s="86">
        <v>5.8571428571428559</v>
      </c>
      <c r="G6" s="86">
        <v>5.5714285714285721</v>
      </c>
      <c r="H6" s="86">
        <v>5.7499999999999991</v>
      </c>
      <c r="I6" s="86">
        <v>5.5</v>
      </c>
      <c r="J6" s="86">
        <v>5.75</v>
      </c>
      <c r="K6" s="86">
        <v>5.571428571428573</v>
      </c>
      <c r="L6" s="86">
        <v>5.5000000000000018</v>
      </c>
      <c r="M6" s="87">
        <v>5.6428571428571441</v>
      </c>
      <c r="N6" s="73">
        <f t="shared" si="0"/>
        <v>28</v>
      </c>
    </row>
    <row r="7" spans="1:14" ht="48" x14ac:dyDescent="0.25">
      <c r="A7" s="14">
        <v>33</v>
      </c>
      <c r="C7" s="84" t="s">
        <v>271</v>
      </c>
      <c r="D7" s="85">
        <v>2.7499999999999996</v>
      </c>
      <c r="E7" s="86">
        <v>3.0714285714285716</v>
      </c>
      <c r="F7" s="86">
        <v>3.1071428571428572</v>
      </c>
      <c r="G7" s="86">
        <v>2.964285714285714</v>
      </c>
      <c r="H7" s="86">
        <v>3.1785714285714288</v>
      </c>
      <c r="I7" s="86">
        <v>2.8928571428571423</v>
      </c>
      <c r="J7" s="86">
        <v>3</v>
      </c>
      <c r="K7" s="86">
        <v>2.964285714285714</v>
      </c>
      <c r="L7" s="86">
        <v>2.9642857142857149</v>
      </c>
      <c r="M7" s="87">
        <v>2.964285714285714</v>
      </c>
      <c r="N7" s="73">
        <f t="shared" si="0"/>
        <v>34</v>
      </c>
    </row>
    <row r="8" spans="1:14" ht="36" x14ac:dyDescent="0.25">
      <c r="A8" s="14">
        <v>41</v>
      </c>
      <c r="C8" s="84" t="s">
        <v>272</v>
      </c>
      <c r="D8" s="85">
        <v>3.0714285714285712</v>
      </c>
      <c r="E8" s="86">
        <v>2.9285714285714279</v>
      </c>
      <c r="F8" s="86">
        <v>3.25</v>
      </c>
      <c r="G8" s="86">
        <v>2.9642857142857135</v>
      </c>
      <c r="H8" s="86">
        <v>2.8928571428571432</v>
      </c>
      <c r="I8" s="86">
        <v>2.7857142857142856</v>
      </c>
      <c r="J8" s="86">
        <v>3.1785714285714293</v>
      </c>
      <c r="K8" s="86">
        <v>3</v>
      </c>
      <c r="L8" s="86">
        <v>3.1785714285714279</v>
      </c>
      <c r="M8" s="87">
        <v>3.5</v>
      </c>
      <c r="N8" s="73">
        <f t="shared" si="0"/>
        <v>42</v>
      </c>
    </row>
    <row r="9" spans="1:14" ht="36" x14ac:dyDescent="0.25">
      <c r="A9" s="14">
        <v>48</v>
      </c>
      <c r="C9" s="84" t="s">
        <v>273</v>
      </c>
      <c r="D9" s="85">
        <v>3.8571428571428568</v>
      </c>
      <c r="E9" s="86">
        <v>3.8571428571428572</v>
      </c>
      <c r="F9" s="86">
        <v>4.1428571428571423</v>
      </c>
      <c r="G9" s="86">
        <v>4</v>
      </c>
      <c r="H9" s="86">
        <v>4.0000000000000009</v>
      </c>
      <c r="I9" s="86">
        <v>3.8214285714285712</v>
      </c>
      <c r="J9" s="86">
        <v>4.1071428571428568</v>
      </c>
      <c r="K9" s="86">
        <v>3.9642857142857144</v>
      </c>
      <c r="L9" s="86">
        <v>4.0357142857142847</v>
      </c>
      <c r="M9" s="87">
        <v>4.3928571428571432</v>
      </c>
      <c r="N9" s="73">
        <f t="shared" si="0"/>
        <v>49</v>
      </c>
    </row>
    <row r="10" spans="1:14" ht="36" x14ac:dyDescent="0.25">
      <c r="A10" s="14">
        <f>A9+6</f>
        <v>54</v>
      </c>
      <c r="C10" s="84" t="s">
        <v>274</v>
      </c>
      <c r="D10" s="85">
        <v>3.714285714285714</v>
      </c>
      <c r="E10" s="86">
        <v>3.6071428571428568</v>
      </c>
      <c r="F10" s="86">
        <v>3.75</v>
      </c>
      <c r="G10" s="86">
        <v>3.5000000000000004</v>
      </c>
      <c r="H10" s="86">
        <v>3.3928571428571428</v>
      </c>
      <c r="I10" s="86">
        <v>3.2500000000000004</v>
      </c>
      <c r="J10" s="86">
        <v>3.8214285714285707</v>
      </c>
      <c r="K10" s="86">
        <v>3.5714285714285716</v>
      </c>
      <c r="L10" s="86">
        <v>3.8928571428571432</v>
      </c>
      <c r="M10" s="87">
        <v>4.0714285714285712</v>
      </c>
      <c r="N10" s="73">
        <f t="shared" si="0"/>
        <v>55</v>
      </c>
    </row>
    <row r="11" spans="1:14" ht="36" x14ac:dyDescent="0.25">
      <c r="A11" s="14">
        <f t="shared" ref="A11:A15" si="1">A10+6</f>
        <v>60</v>
      </c>
      <c r="C11" s="84" t="s">
        <v>275</v>
      </c>
      <c r="D11" s="85">
        <v>3.9285714285714288</v>
      </c>
      <c r="E11" s="86">
        <v>3.75</v>
      </c>
      <c r="F11" s="86">
        <v>3.9285714285714288</v>
      </c>
      <c r="G11" s="86">
        <v>3.7499999999999996</v>
      </c>
      <c r="H11" s="86">
        <v>3.6428571428571423</v>
      </c>
      <c r="I11" s="86">
        <v>3.5</v>
      </c>
      <c r="J11" s="86">
        <v>3.7857142857142856</v>
      </c>
      <c r="K11" s="86">
        <v>3.785714285714286</v>
      </c>
      <c r="L11" s="86">
        <v>3.8214285714285716</v>
      </c>
      <c r="M11" s="87">
        <v>4.1785714285714279</v>
      </c>
      <c r="N11" s="73">
        <f t="shared" si="0"/>
        <v>61</v>
      </c>
    </row>
    <row r="12" spans="1:14" ht="36" x14ac:dyDescent="0.25">
      <c r="A12" s="14">
        <f t="shared" si="1"/>
        <v>66</v>
      </c>
      <c r="C12" s="84" t="s">
        <v>276</v>
      </c>
      <c r="D12" s="85">
        <v>3.8214285714285716</v>
      </c>
      <c r="E12" s="86">
        <v>3.9642857142857144</v>
      </c>
      <c r="F12" s="86">
        <v>3.9285714285714297</v>
      </c>
      <c r="G12" s="86">
        <v>3.6785714285714288</v>
      </c>
      <c r="H12" s="86">
        <v>3.75</v>
      </c>
      <c r="I12" s="86">
        <v>3.8571428571428568</v>
      </c>
      <c r="J12" s="86">
        <v>3.8928571428571423</v>
      </c>
      <c r="K12" s="86">
        <v>3.8571428571428568</v>
      </c>
      <c r="L12" s="86">
        <v>4</v>
      </c>
      <c r="M12" s="87">
        <v>4.25</v>
      </c>
      <c r="N12" s="73">
        <f t="shared" si="0"/>
        <v>67</v>
      </c>
    </row>
    <row r="13" spans="1:14" ht="36" x14ac:dyDescent="0.25">
      <c r="A13" s="14">
        <f t="shared" si="1"/>
        <v>72</v>
      </c>
      <c r="C13" s="84" t="s">
        <v>277</v>
      </c>
      <c r="D13" s="85">
        <v>3.3928571428571428</v>
      </c>
      <c r="E13" s="86">
        <v>3.3928571428571437</v>
      </c>
      <c r="F13" s="86">
        <v>3.5</v>
      </c>
      <c r="G13" s="86">
        <v>3.5</v>
      </c>
      <c r="H13" s="86">
        <v>3.3571428571428563</v>
      </c>
      <c r="I13" s="86">
        <v>3.3928571428571428</v>
      </c>
      <c r="J13" s="86">
        <v>3.535714285714286</v>
      </c>
      <c r="K13" s="86">
        <v>3.6071428571428572</v>
      </c>
      <c r="L13" s="86">
        <v>3.7499999999999991</v>
      </c>
      <c r="M13" s="87">
        <v>4.2142857142857126</v>
      </c>
      <c r="N13" s="73">
        <f t="shared" si="0"/>
        <v>73</v>
      </c>
    </row>
    <row r="14" spans="1:14" ht="36" x14ac:dyDescent="0.25">
      <c r="A14" s="14">
        <f t="shared" si="1"/>
        <v>78</v>
      </c>
      <c r="C14" s="84" t="s">
        <v>278</v>
      </c>
      <c r="D14" s="85">
        <v>3.785714285714286</v>
      </c>
      <c r="E14" s="86">
        <v>3.8214285714285716</v>
      </c>
      <c r="F14" s="86">
        <v>3.7142857142857149</v>
      </c>
      <c r="G14" s="86">
        <v>3.8928571428571428</v>
      </c>
      <c r="H14" s="86">
        <v>3.714285714285714</v>
      </c>
      <c r="I14" s="86">
        <v>3.5714285714285712</v>
      </c>
      <c r="J14" s="86">
        <v>3.8214285714285707</v>
      </c>
      <c r="K14" s="86">
        <v>3.8214285714285703</v>
      </c>
      <c r="L14" s="86">
        <v>4</v>
      </c>
      <c r="M14" s="87">
        <v>4.2142857142857135</v>
      </c>
      <c r="N14" s="73">
        <f t="shared" si="0"/>
        <v>79</v>
      </c>
    </row>
    <row r="15" spans="1:14" ht="36.75" thickBot="1" x14ac:dyDescent="0.3">
      <c r="A15" s="14">
        <f t="shared" si="1"/>
        <v>84</v>
      </c>
      <c r="C15" s="88" t="s">
        <v>279</v>
      </c>
      <c r="D15" s="89">
        <v>3.6071428571428572</v>
      </c>
      <c r="E15" s="90">
        <v>3.8214285714285725</v>
      </c>
      <c r="F15" s="90">
        <v>4.0357142857142856</v>
      </c>
      <c r="G15" s="90">
        <v>3.7142857142857144</v>
      </c>
      <c r="H15" s="90">
        <v>3.714285714285714</v>
      </c>
      <c r="I15" s="90">
        <v>3.7142857142857144</v>
      </c>
      <c r="J15" s="90">
        <v>3.785714285714286</v>
      </c>
      <c r="K15" s="90">
        <v>4</v>
      </c>
      <c r="L15" s="90">
        <v>4</v>
      </c>
      <c r="M15" s="91">
        <v>4.2142857142857126</v>
      </c>
      <c r="N15" s="73">
        <f t="shared" si="0"/>
        <v>85</v>
      </c>
    </row>
    <row r="16" spans="1:14" ht="15.75" thickTop="1" x14ac:dyDescent="0.25"/>
  </sheetData>
  <mergeCells count="3">
    <mergeCell ref="A1:A3"/>
    <mergeCell ref="B1:C3"/>
    <mergeCell ref="D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6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6" sqref="I6"/>
    </sheetView>
  </sheetViews>
  <sheetFormatPr defaultRowHeight="15" x14ac:dyDescent="0.25"/>
  <cols>
    <col min="1" max="1" width="24.85546875" style="14" customWidth="1"/>
    <col min="2" max="2" width="8.7109375" customWidth="1"/>
    <col min="3" max="3" width="23.28515625" customWidth="1"/>
    <col min="4" max="12" width="9.140625" style="60"/>
    <col min="13" max="13" width="11.5703125" style="60" customWidth="1"/>
    <col min="14" max="22" width="9.140625" style="60"/>
    <col min="23" max="23" width="11.5703125" style="60" customWidth="1"/>
    <col min="24" max="33" width="9.140625" style="60"/>
  </cols>
  <sheetData>
    <row r="1" spans="1:33" ht="36.75" customHeight="1" thickTop="1" x14ac:dyDescent="0.25">
      <c r="A1" s="111" t="s">
        <v>178</v>
      </c>
      <c r="B1" s="112"/>
      <c r="C1" s="113"/>
      <c r="D1" s="127">
        <v>0.8</v>
      </c>
      <c r="E1" s="128"/>
      <c r="F1" s="128"/>
      <c r="G1" s="128"/>
      <c r="H1" s="128"/>
      <c r="I1" s="128"/>
      <c r="J1" s="128"/>
      <c r="K1" s="128"/>
      <c r="L1" s="128"/>
      <c r="M1" s="129"/>
      <c r="N1" s="124">
        <v>0.9</v>
      </c>
      <c r="O1" s="125"/>
      <c r="P1" s="125"/>
      <c r="Q1" s="125"/>
      <c r="R1" s="125"/>
      <c r="S1" s="125"/>
      <c r="T1" s="125"/>
      <c r="U1" s="125"/>
      <c r="V1" s="125"/>
      <c r="W1" s="126"/>
      <c r="X1" s="121">
        <v>0.95</v>
      </c>
      <c r="Y1" s="122"/>
      <c r="Z1" s="122"/>
      <c r="AA1" s="122"/>
      <c r="AB1" s="122"/>
      <c r="AC1" s="122"/>
      <c r="AD1" s="122"/>
      <c r="AE1" s="122"/>
      <c r="AF1" s="122"/>
      <c r="AG1" s="123"/>
    </row>
    <row r="2" spans="1:33" ht="24" x14ac:dyDescent="0.25">
      <c r="A2" s="111"/>
      <c r="B2" s="114"/>
      <c r="C2" s="115"/>
      <c r="D2" s="72" t="s">
        <v>1</v>
      </c>
      <c r="E2" s="71" t="s">
        <v>2</v>
      </c>
      <c r="F2" s="71" t="s">
        <v>3</v>
      </c>
      <c r="G2" s="71" t="s">
        <v>4</v>
      </c>
      <c r="H2" s="71" t="s">
        <v>5</v>
      </c>
      <c r="I2" s="71" t="s">
        <v>6</v>
      </c>
      <c r="J2" s="71" t="s">
        <v>7</v>
      </c>
      <c r="K2" s="71" t="s">
        <v>8</v>
      </c>
      <c r="L2" s="71" t="s">
        <v>9</v>
      </c>
      <c r="M2" s="70" t="s">
        <v>10</v>
      </c>
      <c r="N2" s="72" t="s">
        <v>1</v>
      </c>
      <c r="O2" s="71" t="s">
        <v>2</v>
      </c>
      <c r="P2" s="71" t="s">
        <v>3</v>
      </c>
      <c r="Q2" s="71" t="s">
        <v>4</v>
      </c>
      <c r="R2" s="71" t="s">
        <v>5</v>
      </c>
      <c r="S2" s="71" t="s">
        <v>6</v>
      </c>
      <c r="T2" s="71" t="s">
        <v>7</v>
      </c>
      <c r="U2" s="71" t="s">
        <v>8</v>
      </c>
      <c r="V2" s="71" t="s">
        <v>9</v>
      </c>
      <c r="W2" s="70" t="s">
        <v>10</v>
      </c>
      <c r="X2" s="69" t="s">
        <v>1</v>
      </c>
      <c r="Y2" s="68" t="s">
        <v>2</v>
      </c>
      <c r="Z2" s="68" t="s">
        <v>3</v>
      </c>
      <c r="AA2" s="68" t="s">
        <v>4</v>
      </c>
      <c r="AB2" s="68" t="s">
        <v>5</v>
      </c>
      <c r="AC2" s="68" t="s">
        <v>6</v>
      </c>
      <c r="AD2" s="68" t="s">
        <v>7</v>
      </c>
      <c r="AE2" s="68" t="s">
        <v>8</v>
      </c>
      <c r="AF2" s="68" t="s">
        <v>9</v>
      </c>
      <c r="AG2" s="67" t="s">
        <v>10</v>
      </c>
    </row>
    <row r="3" spans="1:33" ht="15.75" thickBot="1" x14ac:dyDescent="0.3">
      <c r="A3" s="111"/>
      <c r="B3" s="116"/>
      <c r="C3" s="117"/>
      <c r="D3" s="66" t="s">
        <v>181</v>
      </c>
      <c r="E3" s="65" t="s">
        <v>182</v>
      </c>
      <c r="F3" s="65" t="s">
        <v>183</v>
      </c>
      <c r="G3" s="65" t="s">
        <v>184</v>
      </c>
      <c r="H3" s="65" t="s">
        <v>185</v>
      </c>
      <c r="I3" s="65" t="s">
        <v>186</v>
      </c>
      <c r="J3" s="65" t="s">
        <v>187</v>
      </c>
      <c r="K3" s="65" t="s">
        <v>188</v>
      </c>
      <c r="L3" s="65" t="s">
        <v>189</v>
      </c>
      <c r="M3" s="64" t="s">
        <v>190</v>
      </c>
      <c r="N3" s="66" t="s">
        <v>181</v>
      </c>
      <c r="O3" s="65" t="s">
        <v>182</v>
      </c>
      <c r="P3" s="65" t="s">
        <v>183</v>
      </c>
      <c r="Q3" s="65" t="s">
        <v>184</v>
      </c>
      <c r="R3" s="65" t="s">
        <v>185</v>
      </c>
      <c r="S3" s="65" t="s">
        <v>186</v>
      </c>
      <c r="T3" s="65" t="s">
        <v>187</v>
      </c>
      <c r="U3" s="65" t="s">
        <v>188</v>
      </c>
      <c r="V3" s="65" t="s">
        <v>189</v>
      </c>
      <c r="W3" s="64" t="s">
        <v>190</v>
      </c>
      <c r="X3" s="63" t="s">
        <v>181</v>
      </c>
      <c r="Y3" s="62" t="s">
        <v>182</v>
      </c>
      <c r="Z3" s="62" t="s">
        <v>183</v>
      </c>
      <c r="AA3" s="62" t="s">
        <v>184</v>
      </c>
      <c r="AB3" s="62" t="s">
        <v>185</v>
      </c>
      <c r="AC3" s="62" t="s">
        <v>186</v>
      </c>
      <c r="AD3" s="62" t="s">
        <v>187</v>
      </c>
      <c r="AE3" s="62" t="s">
        <v>188</v>
      </c>
      <c r="AF3" s="62" t="s">
        <v>189</v>
      </c>
      <c r="AG3" s="61" t="s">
        <v>190</v>
      </c>
    </row>
    <row r="4" spans="1:33" ht="24.75" thickTop="1" x14ac:dyDescent="0.25">
      <c r="A4" s="14">
        <v>14</v>
      </c>
      <c r="C4" s="80" t="s">
        <v>268</v>
      </c>
      <c r="D4" s="92"/>
      <c r="E4" s="93"/>
      <c r="F4" s="93"/>
      <c r="G4" s="93"/>
      <c r="H4" s="93"/>
      <c r="I4" s="93"/>
      <c r="J4" s="93"/>
      <c r="K4" s="93"/>
      <c r="L4" s="93"/>
      <c r="M4" s="94" t="s">
        <v>289</v>
      </c>
      <c r="N4" s="60" t="s">
        <v>191</v>
      </c>
      <c r="O4" s="60" t="s">
        <v>191</v>
      </c>
      <c r="P4" s="60" t="s">
        <v>191</v>
      </c>
      <c r="Q4" s="60" t="s">
        <v>191</v>
      </c>
      <c r="R4" s="60" t="s">
        <v>191</v>
      </c>
      <c r="S4" s="60" t="s">
        <v>191</v>
      </c>
      <c r="T4" s="60" t="s">
        <v>191</v>
      </c>
      <c r="U4" s="60" t="s">
        <v>191</v>
      </c>
      <c r="V4" s="60" t="s">
        <v>191</v>
      </c>
      <c r="W4" s="60" t="s">
        <v>227</v>
      </c>
      <c r="X4" s="60" t="s">
        <v>191</v>
      </c>
      <c r="Y4" s="60" t="s">
        <v>191</v>
      </c>
      <c r="Z4" s="60" t="s">
        <v>191</v>
      </c>
      <c r="AA4" s="60" t="s">
        <v>191</v>
      </c>
      <c r="AB4" s="60" t="s">
        <v>191</v>
      </c>
      <c r="AC4" s="60" t="s">
        <v>191</v>
      </c>
      <c r="AD4" s="60" t="s">
        <v>191</v>
      </c>
      <c r="AE4" s="60" t="s">
        <v>191</v>
      </c>
      <c r="AF4" s="60" t="s">
        <v>191</v>
      </c>
      <c r="AG4" s="60" t="s">
        <v>227</v>
      </c>
    </row>
    <row r="5" spans="1:33" ht="24" x14ac:dyDescent="0.25">
      <c r="A5" s="14">
        <v>22</v>
      </c>
      <c r="C5" s="84" t="s">
        <v>269</v>
      </c>
      <c r="D5" s="95"/>
      <c r="E5" s="96"/>
      <c r="F5" s="96"/>
      <c r="G5" s="96"/>
      <c r="H5" s="96"/>
      <c r="I5" s="96"/>
      <c r="J5" s="96"/>
      <c r="K5" s="96"/>
      <c r="L5" s="96"/>
      <c r="M5" s="97" t="s">
        <v>290</v>
      </c>
      <c r="N5" s="60" t="s">
        <v>191</v>
      </c>
      <c r="O5" s="60" t="s">
        <v>191</v>
      </c>
      <c r="P5" s="60" t="s">
        <v>191</v>
      </c>
      <c r="Q5" s="60" t="s">
        <v>191</v>
      </c>
      <c r="R5" s="60" t="s">
        <v>191</v>
      </c>
      <c r="S5" s="60" t="s">
        <v>191</v>
      </c>
      <c r="T5" s="60" t="s">
        <v>191</v>
      </c>
      <c r="U5" s="60" t="s">
        <v>191</v>
      </c>
      <c r="V5" s="60" t="s">
        <v>191</v>
      </c>
      <c r="W5" s="60" t="s">
        <v>215</v>
      </c>
      <c r="X5" s="60" t="s">
        <v>191</v>
      </c>
      <c r="Y5" s="60" t="s">
        <v>191</v>
      </c>
      <c r="Z5" s="60" t="s">
        <v>191</v>
      </c>
      <c r="AA5" s="60" t="s">
        <v>191</v>
      </c>
      <c r="AB5" s="60" t="s">
        <v>191</v>
      </c>
      <c r="AC5" s="60" t="s">
        <v>191</v>
      </c>
      <c r="AD5" s="60" t="s">
        <v>191</v>
      </c>
      <c r="AE5" s="60" t="s">
        <v>191</v>
      </c>
      <c r="AF5" s="60" t="s">
        <v>191</v>
      </c>
      <c r="AG5" s="60" t="s">
        <v>215</v>
      </c>
    </row>
    <row r="6" spans="1:33" ht="36" x14ac:dyDescent="0.25">
      <c r="A6" s="14">
        <v>28</v>
      </c>
      <c r="C6" s="84" t="s">
        <v>270</v>
      </c>
      <c r="D6" s="95"/>
      <c r="E6" s="96" t="s">
        <v>288</v>
      </c>
      <c r="F6" s="96" t="s">
        <v>288</v>
      </c>
      <c r="G6" s="96"/>
      <c r="H6" s="96" t="s">
        <v>39</v>
      </c>
      <c r="I6" s="96"/>
      <c r="J6" s="96" t="s">
        <v>39</v>
      </c>
      <c r="K6" s="96"/>
      <c r="L6" s="96"/>
      <c r="M6" s="97"/>
      <c r="N6" s="60" t="s">
        <v>191</v>
      </c>
      <c r="O6" s="60" t="s">
        <v>22</v>
      </c>
      <c r="P6" s="60" t="s">
        <v>22</v>
      </c>
      <c r="Q6" s="60" t="s">
        <v>191</v>
      </c>
      <c r="R6" s="60" t="s">
        <v>191</v>
      </c>
      <c r="S6" s="60" t="s">
        <v>191</v>
      </c>
      <c r="T6" s="60" t="s">
        <v>191</v>
      </c>
      <c r="U6" s="60" t="s">
        <v>191</v>
      </c>
      <c r="V6" s="60" t="s">
        <v>191</v>
      </c>
      <c r="W6" s="60" t="s">
        <v>191</v>
      </c>
      <c r="X6" s="60" t="s">
        <v>191</v>
      </c>
      <c r="Y6" s="60" t="s">
        <v>22</v>
      </c>
      <c r="Z6" s="60" t="s">
        <v>22</v>
      </c>
      <c r="AA6" s="60" t="s">
        <v>191</v>
      </c>
      <c r="AB6" s="60" t="s">
        <v>191</v>
      </c>
      <c r="AC6" s="60" t="s">
        <v>191</v>
      </c>
      <c r="AD6" s="60" t="s">
        <v>191</v>
      </c>
      <c r="AE6" s="60" t="s">
        <v>191</v>
      </c>
      <c r="AF6" s="60" t="s">
        <v>191</v>
      </c>
      <c r="AG6" s="60" t="s">
        <v>191</v>
      </c>
    </row>
    <row r="7" spans="1:33" ht="36" x14ac:dyDescent="0.25">
      <c r="A7" s="14">
        <v>34</v>
      </c>
      <c r="C7" s="84" t="s">
        <v>271</v>
      </c>
      <c r="D7" s="95"/>
      <c r="E7" s="96" t="s">
        <v>39</v>
      </c>
      <c r="F7" s="96" t="s">
        <v>39</v>
      </c>
      <c r="G7" s="96"/>
      <c r="H7" s="96" t="s">
        <v>288</v>
      </c>
      <c r="I7" s="96"/>
      <c r="J7" s="96"/>
      <c r="K7" s="96"/>
      <c r="L7" s="96"/>
      <c r="M7" s="97"/>
      <c r="N7" s="60" t="s">
        <v>191</v>
      </c>
      <c r="O7" s="60" t="s">
        <v>191</v>
      </c>
      <c r="P7" s="60" t="s">
        <v>191</v>
      </c>
      <c r="Q7" s="60" t="s">
        <v>191</v>
      </c>
      <c r="R7" s="60" t="s">
        <v>22</v>
      </c>
      <c r="S7" s="60" t="s">
        <v>191</v>
      </c>
      <c r="T7" s="60" t="s">
        <v>191</v>
      </c>
      <c r="U7" s="60" t="s">
        <v>191</v>
      </c>
      <c r="V7" s="60" t="s">
        <v>191</v>
      </c>
      <c r="W7" s="60" t="s">
        <v>191</v>
      </c>
      <c r="X7" s="60" t="s">
        <v>191</v>
      </c>
      <c r="Y7" s="60" t="s">
        <v>191</v>
      </c>
      <c r="Z7" s="60" t="s">
        <v>191</v>
      </c>
      <c r="AA7" s="60" t="s">
        <v>191</v>
      </c>
      <c r="AB7" s="60" t="s">
        <v>22</v>
      </c>
      <c r="AC7" s="60" t="s">
        <v>191</v>
      </c>
      <c r="AD7" s="60" t="s">
        <v>191</v>
      </c>
      <c r="AE7" s="60" t="s">
        <v>191</v>
      </c>
      <c r="AF7" s="60" t="s">
        <v>191</v>
      </c>
      <c r="AG7" s="60" t="s">
        <v>191</v>
      </c>
    </row>
    <row r="8" spans="1:33" ht="36" x14ac:dyDescent="0.25">
      <c r="A8" s="14">
        <v>42</v>
      </c>
      <c r="C8" s="84" t="s">
        <v>272</v>
      </c>
      <c r="D8" s="95"/>
      <c r="E8" s="96"/>
      <c r="F8" s="96" t="s">
        <v>42</v>
      </c>
      <c r="G8" s="96"/>
      <c r="H8" s="96"/>
      <c r="I8" s="96"/>
      <c r="J8" s="96"/>
      <c r="K8" s="96"/>
      <c r="L8" s="96"/>
      <c r="M8" s="97" t="s">
        <v>291</v>
      </c>
      <c r="N8" s="60" t="s">
        <v>191</v>
      </c>
      <c r="O8" s="60" t="s">
        <v>191</v>
      </c>
      <c r="P8" s="60" t="s">
        <v>191</v>
      </c>
      <c r="Q8" s="60" t="s">
        <v>191</v>
      </c>
      <c r="R8" s="60" t="s">
        <v>191</v>
      </c>
      <c r="S8" s="60" t="s">
        <v>191</v>
      </c>
      <c r="T8" s="60" t="s">
        <v>191</v>
      </c>
      <c r="U8" s="60" t="s">
        <v>191</v>
      </c>
      <c r="V8" s="60" t="s">
        <v>191</v>
      </c>
      <c r="W8" s="60" t="s">
        <v>225</v>
      </c>
      <c r="X8" s="60" t="s">
        <v>191</v>
      </c>
      <c r="Y8" s="60" t="s">
        <v>191</v>
      </c>
      <c r="Z8" s="60" t="s">
        <v>191</v>
      </c>
      <c r="AA8" s="60" t="s">
        <v>191</v>
      </c>
      <c r="AB8" s="60" t="s">
        <v>191</v>
      </c>
      <c r="AC8" s="60" t="s">
        <v>191</v>
      </c>
      <c r="AD8" s="60" t="s">
        <v>191</v>
      </c>
      <c r="AE8" s="60" t="s">
        <v>191</v>
      </c>
      <c r="AF8" s="60" t="s">
        <v>191</v>
      </c>
      <c r="AG8" s="60" t="s">
        <v>225</v>
      </c>
    </row>
    <row r="9" spans="1:33" ht="36" x14ac:dyDescent="0.25">
      <c r="A9" s="14">
        <v>49</v>
      </c>
      <c r="C9" s="84" t="s">
        <v>273</v>
      </c>
      <c r="D9" s="95"/>
      <c r="E9" s="96"/>
      <c r="F9" s="96"/>
      <c r="G9" s="96"/>
      <c r="H9" s="96"/>
      <c r="I9" s="96"/>
      <c r="J9" s="96"/>
      <c r="K9" s="96"/>
      <c r="L9" s="96"/>
      <c r="M9" s="97" t="s">
        <v>292</v>
      </c>
      <c r="N9" s="60" t="s">
        <v>191</v>
      </c>
      <c r="O9" s="60" t="s">
        <v>191</v>
      </c>
      <c r="P9" s="60" t="s">
        <v>191</v>
      </c>
      <c r="Q9" s="60" t="s">
        <v>191</v>
      </c>
      <c r="R9" s="60" t="s">
        <v>191</v>
      </c>
      <c r="S9" s="60" t="s">
        <v>191</v>
      </c>
      <c r="T9" s="60" t="s">
        <v>191</v>
      </c>
      <c r="U9" s="60" t="s">
        <v>191</v>
      </c>
      <c r="V9" s="60" t="s">
        <v>191</v>
      </c>
      <c r="W9" s="60" t="s">
        <v>280</v>
      </c>
      <c r="X9" s="60" t="s">
        <v>191</v>
      </c>
      <c r="Y9" s="60" t="s">
        <v>191</v>
      </c>
      <c r="Z9" s="60" t="s">
        <v>191</v>
      </c>
      <c r="AA9" s="60" t="s">
        <v>191</v>
      </c>
      <c r="AB9" s="60" t="s">
        <v>191</v>
      </c>
      <c r="AC9" s="60" t="s">
        <v>191</v>
      </c>
      <c r="AD9" s="60" t="s">
        <v>191</v>
      </c>
      <c r="AE9" s="60" t="s">
        <v>191</v>
      </c>
      <c r="AF9" s="60" t="s">
        <v>191</v>
      </c>
      <c r="AG9" s="60" t="s">
        <v>280</v>
      </c>
    </row>
    <row r="10" spans="1:33" ht="36" x14ac:dyDescent="0.25">
      <c r="A10" s="14">
        <v>55</v>
      </c>
      <c r="C10" s="84" t="s">
        <v>274</v>
      </c>
      <c r="D10" s="95"/>
      <c r="E10" s="96"/>
      <c r="F10" s="96"/>
      <c r="G10" s="96"/>
      <c r="H10" s="96"/>
      <c r="I10" s="96"/>
      <c r="J10" s="96" t="s">
        <v>42</v>
      </c>
      <c r="K10" s="96"/>
      <c r="L10" s="96" t="s">
        <v>293</v>
      </c>
      <c r="M10" s="97" t="s">
        <v>297</v>
      </c>
      <c r="N10" s="60" t="s">
        <v>191</v>
      </c>
      <c r="O10" s="60" t="s">
        <v>191</v>
      </c>
      <c r="P10" s="60" t="s">
        <v>191</v>
      </c>
      <c r="Q10" s="60" t="s">
        <v>191</v>
      </c>
      <c r="R10" s="60" t="s">
        <v>191</v>
      </c>
      <c r="S10" s="60" t="s">
        <v>191</v>
      </c>
      <c r="T10" s="60" t="s">
        <v>191</v>
      </c>
      <c r="U10" s="60" t="s">
        <v>191</v>
      </c>
      <c r="V10" s="60" t="s">
        <v>27</v>
      </c>
      <c r="W10" s="60" t="s">
        <v>48</v>
      </c>
      <c r="X10" s="60" t="s">
        <v>191</v>
      </c>
      <c r="Y10" s="60" t="s">
        <v>191</v>
      </c>
      <c r="Z10" s="60" t="s">
        <v>191</v>
      </c>
      <c r="AA10" s="60" t="s">
        <v>191</v>
      </c>
      <c r="AB10" s="60" t="s">
        <v>191</v>
      </c>
      <c r="AC10" s="60" t="s">
        <v>191</v>
      </c>
      <c r="AD10" s="60" t="s">
        <v>191</v>
      </c>
      <c r="AE10" s="60" t="s">
        <v>191</v>
      </c>
      <c r="AF10" s="60" t="s">
        <v>27</v>
      </c>
      <c r="AG10" s="60" t="s">
        <v>27</v>
      </c>
    </row>
    <row r="11" spans="1:33" ht="36" x14ac:dyDescent="0.25">
      <c r="A11" s="14">
        <v>61</v>
      </c>
      <c r="C11" s="84" t="s">
        <v>275</v>
      </c>
      <c r="D11" s="95"/>
      <c r="E11" s="96"/>
      <c r="F11" s="96"/>
      <c r="G11" s="96"/>
      <c r="H11" s="96"/>
      <c r="I11" s="96"/>
      <c r="J11" s="96"/>
      <c r="K11" s="96"/>
      <c r="L11" s="96"/>
      <c r="M11" s="97" t="s">
        <v>293</v>
      </c>
      <c r="N11" s="60" t="s">
        <v>191</v>
      </c>
      <c r="O11" s="60" t="s">
        <v>191</v>
      </c>
      <c r="P11" s="60" t="s">
        <v>191</v>
      </c>
      <c r="Q11" s="60" t="s">
        <v>191</v>
      </c>
      <c r="R11" s="60" t="s">
        <v>191</v>
      </c>
      <c r="S11" s="60" t="s">
        <v>191</v>
      </c>
      <c r="T11" s="60" t="s">
        <v>191</v>
      </c>
      <c r="U11" s="60" t="s">
        <v>191</v>
      </c>
      <c r="V11" s="60" t="s">
        <v>191</v>
      </c>
      <c r="W11" s="60" t="s">
        <v>27</v>
      </c>
      <c r="X11" s="60" t="s">
        <v>191</v>
      </c>
      <c r="Y11" s="60" t="s">
        <v>191</v>
      </c>
      <c r="Z11" s="60" t="s">
        <v>191</v>
      </c>
      <c r="AA11" s="60" t="s">
        <v>191</v>
      </c>
      <c r="AB11" s="60" t="s">
        <v>191</v>
      </c>
      <c r="AC11" s="60" t="s">
        <v>191</v>
      </c>
      <c r="AD11" s="60" t="s">
        <v>191</v>
      </c>
      <c r="AE11" s="60" t="s">
        <v>191</v>
      </c>
      <c r="AF11" s="60" t="s">
        <v>191</v>
      </c>
      <c r="AG11" s="60" t="s">
        <v>27</v>
      </c>
    </row>
    <row r="12" spans="1:33" ht="36" x14ac:dyDescent="0.25">
      <c r="A12" s="14">
        <v>67</v>
      </c>
      <c r="C12" s="84" t="s">
        <v>276</v>
      </c>
      <c r="D12" s="95"/>
      <c r="E12" s="96"/>
      <c r="F12" s="96"/>
      <c r="G12" s="96"/>
      <c r="H12" s="96"/>
      <c r="I12" s="96"/>
      <c r="J12" s="96"/>
      <c r="K12" s="96"/>
      <c r="L12" s="96"/>
      <c r="M12" s="97" t="s">
        <v>294</v>
      </c>
      <c r="N12" s="60" t="s">
        <v>191</v>
      </c>
      <c r="O12" s="60" t="s">
        <v>191</v>
      </c>
      <c r="P12" s="60" t="s">
        <v>191</v>
      </c>
      <c r="Q12" s="60" t="s">
        <v>191</v>
      </c>
      <c r="R12" s="60" t="s">
        <v>191</v>
      </c>
      <c r="S12" s="60" t="s">
        <v>191</v>
      </c>
      <c r="T12" s="60" t="s">
        <v>191</v>
      </c>
      <c r="U12" s="60" t="s">
        <v>191</v>
      </c>
      <c r="V12" s="60" t="s">
        <v>191</v>
      </c>
      <c r="W12" s="60" t="s">
        <v>25</v>
      </c>
      <c r="X12" s="60" t="s">
        <v>191</v>
      </c>
      <c r="Y12" s="60" t="s">
        <v>191</v>
      </c>
      <c r="Z12" s="60" t="s">
        <v>191</v>
      </c>
      <c r="AA12" s="60" t="s">
        <v>191</v>
      </c>
      <c r="AB12" s="60" t="s">
        <v>191</v>
      </c>
      <c r="AC12" s="60" t="s">
        <v>191</v>
      </c>
      <c r="AD12" s="60" t="s">
        <v>191</v>
      </c>
      <c r="AE12" s="60" t="s">
        <v>191</v>
      </c>
      <c r="AF12" s="60" t="s">
        <v>191</v>
      </c>
      <c r="AG12" s="60" t="s">
        <v>25</v>
      </c>
    </row>
    <row r="13" spans="1:33" ht="36" x14ac:dyDescent="0.25">
      <c r="A13" s="14">
        <v>73</v>
      </c>
      <c r="C13" s="84" t="s">
        <v>277</v>
      </c>
      <c r="D13" s="95"/>
      <c r="E13" s="96"/>
      <c r="F13" s="96"/>
      <c r="G13" s="96"/>
      <c r="H13" s="96"/>
      <c r="I13" s="96"/>
      <c r="J13" s="96"/>
      <c r="K13" s="96"/>
      <c r="L13" s="96"/>
      <c r="M13" s="97" t="s">
        <v>295</v>
      </c>
      <c r="N13" s="60" t="s">
        <v>191</v>
      </c>
      <c r="O13" s="60" t="s">
        <v>191</v>
      </c>
      <c r="P13" s="60" t="s">
        <v>191</v>
      </c>
      <c r="Q13" s="60" t="s">
        <v>191</v>
      </c>
      <c r="R13" s="60" t="s">
        <v>191</v>
      </c>
      <c r="S13" s="60" t="s">
        <v>191</v>
      </c>
      <c r="T13" s="60" t="s">
        <v>191</v>
      </c>
      <c r="U13" s="60" t="s">
        <v>191</v>
      </c>
      <c r="V13" s="60" t="s">
        <v>191</v>
      </c>
      <c r="W13" s="60" t="s">
        <v>226</v>
      </c>
      <c r="X13" s="60" t="s">
        <v>191</v>
      </c>
      <c r="Y13" s="60" t="s">
        <v>191</v>
      </c>
      <c r="Z13" s="60" t="s">
        <v>191</v>
      </c>
      <c r="AA13" s="60" t="s">
        <v>191</v>
      </c>
      <c r="AB13" s="60" t="s">
        <v>191</v>
      </c>
      <c r="AC13" s="60" t="s">
        <v>191</v>
      </c>
      <c r="AD13" s="60" t="s">
        <v>191</v>
      </c>
      <c r="AE13" s="60" t="s">
        <v>191</v>
      </c>
      <c r="AF13" s="60" t="s">
        <v>191</v>
      </c>
      <c r="AG13" s="60" t="s">
        <v>226</v>
      </c>
    </row>
    <row r="14" spans="1:33" ht="36" x14ac:dyDescent="0.25">
      <c r="A14" s="14">
        <v>79</v>
      </c>
      <c r="C14" s="84" t="s">
        <v>278</v>
      </c>
      <c r="D14" s="95"/>
      <c r="E14" s="96"/>
      <c r="F14" s="96"/>
      <c r="G14" s="96"/>
      <c r="H14" s="96"/>
      <c r="I14" s="96"/>
      <c r="J14" s="96"/>
      <c r="K14" s="96"/>
      <c r="L14" s="96"/>
      <c r="M14" s="97" t="s">
        <v>293</v>
      </c>
      <c r="N14" s="60" t="s">
        <v>191</v>
      </c>
      <c r="O14" s="60" t="s">
        <v>191</v>
      </c>
      <c r="P14" s="60" t="s">
        <v>191</v>
      </c>
      <c r="Q14" s="60" t="s">
        <v>191</v>
      </c>
      <c r="R14" s="60" t="s">
        <v>191</v>
      </c>
      <c r="S14" s="60" t="s">
        <v>191</v>
      </c>
      <c r="T14" s="60" t="s">
        <v>191</v>
      </c>
      <c r="U14" s="60" t="s">
        <v>191</v>
      </c>
      <c r="V14" s="60" t="s">
        <v>191</v>
      </c>
      <c r="W14" s="60" t="s">
        <v>27</v>
      </c>
      <c r="X14" s="60" t="s">
        <v>191</v>
      </c>
      <c r="Y14" s="60" t="s">
        <v>191</v>
      </c>
      <c r="Z14" s="60" t="s">
        <v>191</v>
      </c>
      <c r="AA14" s="60" t="s">
        <v>191</v>
      </c>
      <c r="AB14" s="60" t="s">
        <v>191</v>
      </c>
      <c r="AC14" s="60" t="s">
        <v>191</v>
      </c>
      <c r="AD14" s="60" t="s">
        <v>191</v>
      </c>
      <c r="AE14" s="60" t="s">
        <v>191</v>
      </c>
      <c r="AF14" s="60" t="s">
        <v>191</v>
      </c>
      <c r="AG14" s="60" t="s">
        <v>27</v>
      </c>
    </row>
    <row r="15" spans="1:33" ht="36.75" thickBot="1" x14ac:dyDescent="0.3">
      <c r="A15" s="14">
        <v>85</v>
      </c>
      <c r="C15" s="88" t="s">
        <v>279</v>
      </c>
      <c r="D15" s="98"/>
      <c r="E15" s="99"/>
      <c r="F15" s="99"/>
      <c r="G15" s="99"/>
      <c r="H15" s="99"/>
      <c r="I15" s="99"/>
      <c r="J15" s="99"/>
      <c r="K15" s="99"/>
      <c r="L15" s="99"/>
      <c r="M15" s="100" t="s">
        <v>296</v>
      </c>
      <c r="N15" s="60" t="s">
        <v>191</v>
      </c>
      <c r="O15" s="60" t="s">
        <v>191</v>
      </c>
      <c r="P15" s="60" t="s">
        <v>191</v>
      </c>
      <c r="Q15" s="60" t="s">
        <v>191</v>
      </c>
      <c r="R15" s="60" t="s">
        <v>191</v>
      </c>
      <c r="S15" s="60" t="s">
        <v>191</v>
      </c>
      <c r="T15" s="60" t="s">
        <v>191</v>
      </c>
      <c r="U15" s="60" t="s">
        <v>191</v>
      </c>
      <c r="V15" s="60" t="s">
        <v>191</v>
      </c>
      <c r="W15" s="60" t="s">
        <v>22</v>
      </c>
      <c r="X15" s="60" t="s">
        <v>191</v>
      </c>
      <c r="Y15" s="60" t="s">
        <v>191</v>
      </c>
      <c r="Z15" s="60" t="s">
        <v>191</v>
      </c>
      <c r="AA15" s="60" t="s">
        <v>191</v>
      </c>
      <c r="AB15" s="60" t="s">
        <v>191</v>
      </c>
      <c r="AC15" s="60" t="s">
        <v>191</v>
      </c>
      <c r="AD15" s="60" t="s">
        <v>191</v>
      </c>
      <c r="AE15" s="60" t="s">
        <v>191</v>
      </c>
      <c r="AF15" s="60" t="s">
        <v>191</v>
      </c>
      <c r="AG15" s="60" t="s">
        <v>22</v>
      </c>
    </row>
    <row r="16" spans="1:33" ht="15.75" thickTop="1" x14ac:dyDescent="0.25"/>
  </sheetData>
  <mergeCells count="5">
    <mergeCell ref="X1:AG1"/>
    <mergeCell ref="A1:A3"/>
    <mergeCell ref="B1:C3"/>
    <mergeCell ref="N1:W1"/>
    <mergeCell ref="D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"/>
  <sheetViews>
    <sheetView workbookViewId="0">
      <selection activeCell="G7" sqref="G7"/>
    </sheetView>
  </sheetViews>
  <sheetFormatPr defaultRowHeight="15" x14ac:dyDescent="0.25"/>
  <cols>
    <col min="1" max="1" width="25.85546875" customWidth="1"/>
    <col min="2" max="2" width="12.140625" customWidth="1"/>
    <col min="4" max="4" width="13" customWidth="1"/>
  </cols>
  <sheetData>
    <row r="1" spans="1:4" x14ac:dyDescent="0.25">
      <c r="A1" s="102" t="s">
        <v>285</v>
      </c>
      <c r="B1" s="104">
        <v>0.95</v>
      </c>
      <c r="C1" s="105">
        <v>0.9</v>
      </c>
      <c r="D1" s="106">
        <v>0.8</v>
      </c>
    </row>
    <row r="2" spans="1:4" ht="33" customHeight="1" x14ac:dyDescent="0.25">
      <c r="A2" s="102" t="s">
        <v>286</v>
      </c>
      <c r="B2" s="107">
        <v>0.95</v>
      </c>
      <c r="C2" s="108">
        <v>0.9</v>
      </c>
      <c r="D2" s="109">
        <v>0.8</v>
      </c>
    </row>
    <row r="3" spans="1:4" x14ac:dyDescent="0.25">
      <c r="A3" s="101" t="s">
        <v>287</v>
      </c>
      <c r="B3" s="101" t="s">
        <v>22</v>
      </c>
      <c r="C3" s="101"/>
    </row>
    <row r="6" spans="1:4" ht="15.75" thickBot="1" x14ac:dyDescent="0.3"/>
    <row r="7" spans="1:4" ht="15.75" thickBot="1" x14ac:dyDescent="0.3">
      <c r="D7" s="103"/>
    </row>
    <row r="10" spans="1:4" x14ac:dyDescent="0.25">
      <c r="D10" s="10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Huong dan su dung</vt:lpstr>
      <vt:lpstr>Output</vt:lpstr>
      <vt:lpstr>Data</vt:lpstr>
      <vt:lpstr>Sig Test</vt:lpstr>
      <vt:lpstr>Mark màu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viphat</dc:creator>
  <cp:lastModifiedBy>Eddie</cp:lastModifiedBy>
  <dcterms:created xsi:type="dcterms:W3CDTF">2014-10-02T17:45:42Z</dcterms:created>
  <dcterms:modified xsi:type="dcterms:W3CDTF">2016-01-09T09:23:30Z</dcterms:modified>
</cp:coreProperties>
</file>